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425E93-E568-441B-AE17-781722BE38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C TUẦN" sheetId="1" r:id="rId1"/>
  </sheets>
  <calcPr calcId="191029"/>
  <extLst>
    <ext uri="GoogleSheetsCustomDataVersion2">
      <go:sheetsCustomData xmlns:go="http://customooxmlschemas.google.com/" r:id="rId5" roundtripDataChecksum="GSBEdQErp2qKkNwA8stMID83mvtGSmsr6v4g6ltC6Q4="/>
    </ext>
  </extLst>
</workbook>
</file>

<file path=xl/calcChain.xml><?xml version="1.0" encoding="utf-8"?>
<calcChain xmlns="http://schemas.openxmlformats.org/spreadsheetml/2006/main">
  <c r="E88" i="1" l="1"/>
  <c r="D88" i="1"/>
  <c r="C88" i="1"/>
  <c r="E85" i="1"/>
  <c r="D85" i="1"/>
  <c r="C85" i="1"/>
  <c r="E82" i="1"/>
  <c r="D82" i="1"/>
  <c r="C82" i="1"/>
  <c r="E73" i="1"/>
  <c r="E72" i="1" s="1"/>
  <c r="D72" i="1"/>
  <c r="C72" i="1"/>
  <c r="E68" i="1"/>
  <c r="E65" i="1" s="1"/>
  <c r="D65" i="1"/>
  <c r="C65" i="1"/>
  <c r="E61" i="1"/>
  <c r="D61" i="1"/>
  <c r="C61" i="1"/>
  <c r="E49" i="1"/>
  <c r="D49" i="1"/>
  <c r="C49" i="1"/>
  <c r="E37" i="1"/>
  <c r="D37" i="1"/>
  <c r="C37" i="1"/>
  <c r="E26" i="1"/>
  <c r="D26" i="1"/>
  <c r="C26" i="1"/>
  <c r="E21" i="1"/>
  <c r="D21" i="1"/>
  <c r="C21" i="1"/>
  <c r="E15" i="1"/>
  <c r="D15" i="1"/>
  <c r="C15" i="1"/>
  <c r="E13" i="1"/>
  <c r="E12" i="1"/>
  <c r="E11" i="1"/>
  <c r="E10" i="1"/>
  <c r="E9" i="1"/>
  <c r="E8" i="1"/>
  <c r="E7" i="1"/>
  <c r="E6" i="1"/>
  <c r="D6" i="1"/>
  <c r="C6" i="1"/>
</calcChain>
</file>

<file path=xl/sharedStrings.xml><?xml version="1.0" encoding="utf-8"?>
<sst xmlns="http://schemas.openxmlformats.org/spreadsheetml/2006/main" count="215" uniqueCount="104">
  <si>
    <t>RẠCH XUYÊN TÂM - Bình Thạnh - HCM</t>
  </si>
  <si>
    <t>Nhu cầu</t>
  </si>
  <si>
    <t>Đã tuyển</t>
  </si>
  <si>
    <t>Đang tuyển</t>
  </si>
  <si>
    <t>Tiến độ</t>
  </si>
  <si>
    <t>Ghi chú</t>
  </si>
  <si>
    <t>Số lượng định biên</t>
  </si>
  <si>
    <t>Kỹ sư hiện trường</t>
  </si>
  <si>
    <t xml:space="preserve">Done </t>
  </si>
  <si>
    <t>tạm thời hỗ trợ TL8, 15/6 nhận việc</t>
  </si>
  <si>
    <t>Kế toán HC</t>
  </si>
  <si>
    <t>Vũ Thanh Long: 01/6</t>
  </si>
  <si>
    <t>Kỹ sư trắc đạc</t>
  </si>
  <si>
    <t xml:space="preserve">Nguyễn Lê Cường 25/5 </t>
  </si>
  <si>
    <t>CHP</t>
  </si>
  <si>
    <t>Done</t>
  </si>
  <si>
    <t>Đăng Đình Quyền &amp; Trần Xuân Thìn: 21/04</t>
  </si>
  <si>
    <t>QA/QC</t>
  </si>
  <si>
    <t>Lê Hoàng Anh: 12/5</t>
  </si>
  <si>
    <t>Chuyên viên QS</t>
  </si>
  <si>
    <t>Hữu Nghị</t>
  </si>
  <si>
    <t>Cán bộ ATLD</t>
  </si>
  <si>
    <t>Phạm Quang Phú 04/5</t>
  </si>
  <si>
    <t>TỈNH LỘ 8 - Củ Chi - HCM</t>
  </si>
  <si>
    <t>Trưởng BP QA/QC</t>
  </si>
  <si>
    <t>-</t>
  </si>
  <si>
    <t>SMC tuyển</t>
  </si>
  <si>
    <t>GD Dự án</t>
  </si>
  <si>
    <t>Nguyễn Vĩnh Thái</t>
  </si>
  <si>
    <t>CHT (Pháp lý)</t>
  </si>
  <si>
    <t>Trần Văn Tính</t>
  </si>
  <si>
    <t>CẦU MÃ ĐÀ - Nối Đồng Nai - Bình Phước</t>
  </si>
  <si>
    <t>SP trả lương</t>
  </si>
  <si>
    <t>Bùi Văn Hòa: 22/06/2026</t>
  </si>
  <si>
    <t>ĐIỆN MẶT TRỜI TRÀ VINH GD 2</t>
  </si>
  <si>
    <t>CHP Phụ trách mảng XD</t>
  </si>
  <si>
    <t>Trắc đạc</t>
  </si>
  <si>
    <t>Quản lí vật tư</t>
  </si>
  <si>
    <t>Chuyên viên Kỹ thuật</t>
  </si>
  <si>
    <t>Nguyễn Khắc Quy</t>
  </si>
  <si>
    <t>Kỹ sư thiết kế</t>
  </si>
  <si>
    <t>Trương Huy Hoàng: 04/5</t>
  </si>
  <si>
    <t>Minh Chí</t>
  </si>
  <si>
    <t>M&amp;E</t>
  </si>
  <si>
    <t>Nguyễn Hoàng Ngay</t>
  </si>
  <si>
    <t>Phụ kho</t>
  </si>
  <si>
    <t>CỐNG ÂU THUYỀN VÀM LẼO - Vĩnh Lợi, tỉnh Bạc Liêu</t>
  </si>
  <si>
    <t>Cán bộ kỹ thuật</t>
  </si>
  <si>
    <t xml:space="preserve">  </t>
  </si>
  <si>
    <t>QS</t>
  </si>
  <si>
    <t>Nguyễn Thành Hưng 15/06 nhận việc</t>
  </si>
  <si>
    <t>Nguyễn Văn Định: 08/6 nhận việc</t>
  </si>
  <si>
    <t>Hồ Hoàng Cường</t>
  </si>
  <si>
    <t>Trần Thanh Toàn 8/6</t>
  </si>
  <si>
    <t>CHT</t>
  </si>
  <si>
    <t>Đoàn Văn Tú - ECSG (không thường trực)</t>
  </si>
  <si>
    <t>Tài xế lái xe</t>
  </si>
  <si>
    <t>CHỐNG HẠN, XÓI LỞ VÀ NGẬP LỤT THÍCH ỨNG VỚI BIẾN ĐỔI KHÍ HẬU - Khu vực Hồ Lanh Ra, Xã Phước Hậu, tỉnh Khánh Hòa</t>
  </si>
  <si>
    <t>Cán bộ vật tư (theo kl công việc)</t>
  </si>
  <si>
    <t>Kỹ sư cơ khí</t>
  </si>
  <si>
    <t>Hồ Sỹ Hồng 1/7</t>
  </si>
  <si>
    <t>anh Bảy</t>
  </si>
  <si>
    <t>Lâm Sỹ Thắng</t>
  </si>
  <si>
    <t>Tổ trưởng QA/QC kiêm KCS</t>
  </si>
  <si>
    <t>Tài Đại Minh Hoàng 1/7</t>
  </si>
  <si>
    <t xml:space="preserve">Vũ Hữu Khoa </t>
  </si>
  <si>
    <t>CBKT</t>
  </si>
  <si>
    <t xml:space="preserve"> Trương Việt Phương 1/7</t>
  </si>
  <si>
    <t>KHỐI VĂN PHÒNG</t>
  </si>
  <si>
    <t>PHÒNG KẾ HOẠCH - ĐẤU THẦU</t>
  </si>
  <si>
    <t>Chuyên viên Kinh tế - Kế hoạch</t>
  </si>
  <si>
    <t>Chuyên viên đấu thầu</t>
  </si>
  <si>
    <t>Tạm dừng tuyển</t>
  </si>
  <si>
    <t>PHÒNG QUẢN LÝ DỰ ÁN</t>
  </si>
  <si>
    <t>Nhân viên tổng hợp P QLDA</t>
  </si>
  <si>
    <t>PP QLDA</t>
  </si>
  <si>
    <t>Chuyên viên QLDA</t>
  </si>
  <si>
    <t>Nguyễn Văn Quyết: 15/6 nhận việc</t>
  </si>
  <si>
    <t>Chuyên viên QS P QLDA</t>
  </si>
  <si>
    <t>Nguyễn Hồng Hải: 15/6 nhận việc</t>
  </si>
  <si>
    <t>TP QLDA</t>
  </si>
  <si>
    <t>PHÒNG HÀNH CHÍNH - NHÂN SỰ</t>
  </si>
  <si>
    <t>Nhân viên Tuyển dụng</t>
  </si>
  <si>
    <t>Chuyên viên Media</t>
  </si>
  <si>
    <t>Nhân viên HC</t>
  </si>
  <si>
    <t>PP Hành chính</t>
  </si>
  <si>
    <t>Tổ trưởng Nhân sự</t>
  </si>
  <si>
    <t>Tài xế</t>
  </si>
  <si>
    <t>Nhân viên Văn Thư</t>
  </si>
  <si>
    <t>Chuyên viên Designer</t>
  </si>
  <si>
    <t>PHÒNG AN TOÀN LAO ĐỘNG</t>
  </si>
  <si>
    <t>Chuyên viên ATLD</t>
  </si>
  <si>
    <t>Đã PV Vòng 1</t>
  </si>
  <si>
    <t>PHÒNG VẬT TƯ - THIẾT BỊ</t>
  </si>
  <si>
    <t>Phó phòng VT - TB</t>
  </si>
  <si>
    <t>PHÒNG KỸ THUẬT HẠ TẦNG</t>
  </si>
  <si>
    <t>Trưởng phòng KTHT</t>
  </si>
  <si>
    <t>Phó phòng KTHT</t>
  </si>
  <si>
    <t>Chuyên viên KTHT</t>
  </si>
  <si>
    <t>Đã PV Vòng 1, đang deal chờ UV phản hồi</t>
  </si>
  <si>
    <t>I</t>
  </si>
  <si>
    <t>II</t>
  </si>
  <si>
    <t>KHỐI DỰ ÁN</t>
  </si>
  <si>
    <t>BÁO CÁO TUYỂN DỤNG TUẦN TRUNGNAM E&amp;C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</si>
</sst>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>
    <font>
      <sz val="11"/>
      <color theme="1"/>
      <name val="Calibri"/>
      <scheme val="minor"/>
    </font>
    <font>
      <sz val="12"/>
      <color rgb="FF002060"/>
      <name val="Times New Roman"/>
    </font>
    <font>
      <sz val="11"/>
      <name val="Calibri"/>
    </font>
    <font>
      <b/>
      <sz val="12"/>
      <color rgb="FF002060"/>
      <name val="Times New Roman"/>
    </font>
    <font>
      <sz val="12"/>
      <color rgb="FFFF0000"/>
      <name val="Times New Roman"/>
    </font>
    <font>
      <b/>
      <sz val="18"/>
      <color rgb="FF002060"/>
      <name val="Times New Roman"/>
    </font>
    <font>
      <sz val="18"/>
      <color rgb="FF002060"/>
      <name val="Times New Roman"/>
    </font>
    <font>
      <sz val="11"/>
      <color theme="1"/>
      <name val="Times New Roman"/>
    </font>
    <font>
      <sz val="11"/>
      <color theme="1"/>
      <name val="Times New Roman"/>
    </font>
    <font>
      <b/>
      <sz val="12"/>
      <color rgb="FF002060"/>
      <name val="Times New Roman"/>
      <family val="1"/>
    </font>
    <font>
      <b/>
      <sz val="16"/>
      <color rgb="FF002060"/>
      <name val="Open Sans"/>
      <family val="2"/>
    </font>
    <font>
      <b/>
      <sz val="22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0"/>
      </patternFill>
    </fill>
    <fill>
      <patternFill patternType="solid">
        <fgColor theme="2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2060"/>
      </bottom>
      <diagonal/>
    </border>
    <border>
      <left/>
      <right/>
      <top style="thin">
        <color rgb="FF000000"/>
      </top>
      <bottom style="thin">
        <color rgb="FF002060"/>
      </bottom>
      <diagonal/>
    </border>
    <border>
      <left/>
      <right style="thin">
        <color rgb="FF000000"/>
      </right>
      <top style="thin">
        <color rgb="FF000000"/>
      </top>
      <bottom style="thin">
        <color rgb="FF00206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4" fontId="1" fillId="6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wrapText="1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7" fillId="7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3" fillId="3" borderId="8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right" vertical="center"/>
    </xf>
    <xf numFmtId="164" fontId="3" fillId="4" borderId="9" xfId="0" applyNumberFormat="1" applyFont="1" applyFill="1" applyBorder="1" applyAlignment="1">
      <alignment horizontal="center" vertical="center"/>
    </xf>
    <xf numFmtId="164" fontId="3" fillId="5" borderId="9" xfId="0" applyNumberFormat="1" applyFont="1" applyFill="1" applyBorder="1" applyAlignment="1">
      <alignment horizontal="center" vertical="center"/>
    </xf>
    <xf numFmtId="164" fontId="3" fillId="6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164" fontId="1" fillId="4" borderId="9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1" fillId="6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2" borderId="9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" fillId="8" borderId="6" xfId="0" applyFont="1" applyFill="1" applyBorder="1"/>
    <xf numFmtId="0" fontId="2" fillId="8" borderId="7" xfId="0" applyFont="1" applyFill="1" applyBorder="1"/>
    <xf numFmtId="0" fontId="2" fillId="8" borderId="2" xfId="0" applyFont="1" applyFill="1" applyBorder="1"/>
    <xf numFmtId="0" fontId="2" fillId="8" borderId="3" xfId="0" applyFont="1" applyFill="1" applyBorder="1"/>
    <xf numFmtId="0" fontId="10" fillId="9" borderId="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2752725</xdr:colOff>
      <xdr:row>1</xdr:row>
      <xdr:rowOff>82200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61FF2-DE7E-6C57-3A78-0D0640530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62325" cy="1053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4" topLeftCell="A59" activePane="bottomLeft" state="frozen"/>
      <selection pane="bottomLeft" activeCell="B96" sqref="B96"/>
    </sheetView>
  </sheetViews>
  <sheetFormatPr defaultColWidth="14.42578125" defaultRowHeight="15" customHeight="1"/>
  <cols>
    <col min="1" max="1" width="9.140625" customWidth="1"/>
    <col min="2" max="2" width="45.5703125" customWidth="1"/>
    <col min="3" max="3" width="10.42578125" customWidth="1"/>
    <col min="4" max="4" width="14.140625" customWidth="1"/>
    <col min="5" max="5" width="14" customWidth="1"/>
    <col min="6" max="6" width="9.42578125" customWidth="1"/>
    <col min="7" max="7" width="44.85546875" customWidth="1"/>
    <col min="8" max="9" width="9.140625" customWidth="1"/>
    <col min="10" max="26" width="8.7109375" customWidth="1"/>
  </cols>
  <sheetData>
    <row r="1" spans="1:26" ht="76.5" customHeight="1">
      <c r="A1" s="58" t="s">
        <v>103</v>
      </c>
      <c r="B1" s="58"/>
      <c r="C1" s="58"/>
      <c r="D1" s="58"/>
      <c r="E1" s="58"/>
      <c r="F1" s="58"/>
      <c r="G1" s="58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customHeight="1">
      <c r="A3" s="51" t="s">
        <v>100</v>
      </c>
      <c r="B3" s="57" t="s">
        <v>102</v>
      </c>
      <c r="C3" s="55"/>
      <c r="D3" s="55"/>
      <c r="E3" s="55"/>
      <c r="F3" s="55"/>
      <c r="G3" s="5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35" t="s">
        <v>0</v>
      </c>
      <c r="C5" s="36" t="s">
        <v>1</v>
      </c>
      <c r="D5" s="37" t="s">
        <v>2</v>
      </c>
      <c r="E5" s="38" t="s">
        <v>3</v>
      </c>
      <c r="F5" s="39" t="s">
        <v>4</v>
      </c>
      <c r="G5" s="39" t="s"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40" t="s">
        <v>6</v>
      </c>
      <c r="C6" s="41">
        <f t="shared" ref="C6:E6" si="0">SUM(C7:C13)</f>
        <v>8</v>
      </c>
      <c r="D6" s="42">
        <f t="shared" si="0"/>
        <v>8</v>
      </c>
      <c r="E6" s="43">
        <f t="shared" si="0"/>
        <v>0</v>
      </c>
      <c r="F6" s="44"/>
      <c r="G6" s="4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44" t="s">
        <v>7</v>
      </c>
      <c r="C7" s="45">
        <v>1</v>
      </c>
      <c r="D7" s="46">
        <v>1</v>
      </c>
      <c r="E7" s="47">
        <f t="shared" ref="E7:E13" si="1">C7-D7</f>
        <v>0</v>
      </c>
      <c r="F7" s="44" t="s">
        <v>8</v>
      </c>
      <c r="G7" s="48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49" t="s">
        <v>10</v>
      </c>
      <c r="C8" s="45">
        <v>1</v>
      </c>
      <c r="D8" s="46">
        <v>1</v>
      </c>
      <c r="E8" s="47">
        <f t="shared" si="1"/>
        <v>0</v>
      </c>
      <c r="F8" s="44" t="s">
        <v>8</v>
      </c>
      <c r="G8" s="44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44" t="s">
        <v>12</v>
      </c>
      <c r="C9" s="45">
        <v>1</v>
      </c>
      <c r="D9" s="46">
        <v>1</v>
      </c>
      <c r="E9" s="47">
        <f t="shared" si="1"/>
        <v>0</v>
      </c>
      <c r="F9" s="44" t="s">
        <v>8</v>
      </c>
      <c r="G9" s="44" t="s">
        <v>13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44" t="s">
        <v>14</v>
      </c>
      <c r="C10" s="45">
        <v>2</v>
      </c>
      <c r="D10" s="46">
        <v>2</v>
      </c>
      <c r="E10" s="47">
        <f t="shared" si="1"/>
        <v>0</v>
      </c>
      <c r="F10" s="44" t="s">
        <v>15</v>
      </c>
      <c r="G10" s="50" t="s">
        <v>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44" t="s">
        <v>17</v>
      </c>
      <c r="C11" s="45">
        <v>1</v>
      </c>
      <c r="D11" s="46">
        <v>1</v>
      </c>
      <c r="E11" s="47">
        <f t="shared" si="1"/>
        <v>0</v>
      </c>
      <c r="F11" s="44" t="s">
        <v>15</v>
      </c>
      <c r="G11" s="44" t="s">
        <v>18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44" t="s">
        <v>19</v>
      </c>
      <c r="C12" s="45">
        <v>1</v>
      </c>
      <c r="D12" s="46">
        <v>1</v>
      </c>
      <c r="E12" s="47">
        <f t="shared" si="1"/>
        <v>0</v>
      </c>
      <c r="F12" s="44" t="s">
        <v>15</v>
      </c>
      <c r="G12" s="44" t="s">
        <v>20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44" t="s">
        <v>21</v>
      </c>
      <c r="C13" s="45">
        <v>1</v>
      </c>
      <c r="D13" s="46">
        <v>1</v>
      </c>
      <c r="E13" s="47">
        <f t="shared" si="1"/>
        <v>0</v>
      </c>
      <c r="F13" s="44" t="s">
        <v>15</v>
      </c>
      <c r="G13" s="44" t="s">
        <v>22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29" t="s">
        <v>23</v>
      </c>
      <c r="C14" s="30" t="s">
        <v>1</v>
      </c>
      <c r="D14" s="31" t="s">
        <v>2</v>
      </c>
      <c r="E14" s="32" t="s">
        <v>3</v>
      </c>
      <c r="F14" s="33" t="s">
        <v>4</v>
      </c>
      <c r="G14" s="3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7" t="s">
        <v>6</v>
      </c>
      <c r="C15" s="8">
        <f t="shared" ref="C15:E15" si="2">SUM(C16:C19)</f>
        <v>3</v>
      </c>
      <c r="D15" s="9">
        <f t="shared" si="2"/>
        <v>3</v>
      </c>
      <c r="E15" s="10">
        <f t="shared" si="2"/>
        <v>0</v>
      </c>
      <c r="F15" s="11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1" t="s">
        <v>24</v>
      </c>
      <c r="C16" s="13"/>
      <c r="D16" s="14" t="s">
        <v>25</v>
      </c>
      <c r="E16" s="15"/>
      <c r="F16" s="11"/>
      <c r="G16" s="11" t="s">
        <v>26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1" t="s">
        <v>27</v>
      </c>
      <c r="C17" s="13">
        <v>1</v>
      </c>
      <c r="D17" s="14">
        <v>1</v>
      </c>
      <c r="E17" s="15" t="s">
        <v>25</v>
      </c>
      <c r="F17" s="11" t="s">
        <v>15</v>
      </c>
      <c r="G17" s="11" t="s">
        <v>28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1" t="s">
        <v>29</v>
      </c>
      <c r="C18" s="13">
        <v>1</v>
      </c>
      <c r="D18" s="14">
        <v>1</v>
      </c>
      <c r="E18" s="15" t="s">
        <v>25</v>
      </c>
      <c r="F18" s="11" t="s">
        <v>15</v>
      </c>
      <c r="G18" s="11" t="s">
        <v>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1" t="s">
        <v>19</v>
      </c>
      <c r="C19" s="13">
        <v>1</v>
      </c>
      <c r="D19" s="14">
        <v>1</v>
      </c>
      <c r="E19" s="15" t="s">
        <v>25</v>
      </c>
      <c r="F19" s="11" t="s">
        <v>15</v>
      </c>
      <c r="G19" s="11" t="s">
        <v>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2" t="s">
        <v>31</v>
      </c>
      <c r="C20" s="3" t="s">
        <v>1</v>
      </c>
      <c r="D20" s="4" t="s">
        <v>2</v>
      </c>
      <c r="E20" s="5" t="s">
        <v>3</v>
      </c>
      <c r="F20" s="6" t="s">
        <v>4</v>
      </c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7" t="s">
        <v>6</v>
      </c>
      <c r="C21" s="8">
        <f t="shared" ref="C21:E21" si="3">SUM(C22:C24)</f>
        <v>5</v>
      </c>
      <c r="D21" s="9">
        <f t="shared" si="3"/>
        <v>1</v>
      </c>
      <c r="E21" s="10">
        <f t="shared" si="3"/>
        <v>4</v>
      </c>
      <c r="F21" s="11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1" t="s">
        <v>7</v>
      </c>
      <c r="C22" s="13">
        <v>3</v>
      </c>
      <c r="D22" s="14"/>
      <c r="E22" s="15">
        <v>3</v>
      </c>
      <c r="F22" s="11"/>
      <c r="G22" s="11" t="s">
        <v>32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1" t="s">
        <v>12</v>
      </c>
      <c r="C23" s="13">
        <v>1</v>
      </c>
      <c r="D23" s="14"/>
      <c r="E23" s="15">
        <v>1</v>
      </c>
      <c r="F23" s="11"/>
      <c r="G23" s="11" t="s">
        <v>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1" t="s">
        <v>21</v>
      </c>
      <c r="C24" s="13">
        <v>1</v>
      </c>
      <c r="D24" s="14">
        <v>1</v>
      </c>
      <c r="E24" s="15"/>
      <c r="F24" s="11" t="s">
        <v>15</v>
      </c>
      <c r="G24" s="11" t="s">
        <v>33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2" t="s">
        <v>34</v>
      </c>
      <c r="C25" s="3" t="s">
        <v>1</v>
      </c>
      <c r="D25" s="4" t="s">
        <v>2</v>
      </c>
      <c r="E25" s="5" t="s">
        <v>3</v>
      </c>
      <c r="F25" s="6" t="s">
        <v>4</v>
      </c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7" t="s">
        <v>6</v>
      </c>
      <c r="C26" s="8">
        <f t="shared" ref="C26:E26" si="4">SUM(C27:C35)</f>
        <v>12</v>
      </c>
      <c r="D26" s="9">
        <f t="shared" si="4"/>
        <v>7</v>
      </c>
      <c r="E26" s="10">
        <f t="shared" si="4"/>
        <v>5</v>
      </c>
      <c r="F26" s="11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1" t="s">
        <v>35</v>
      </c>
      <c r="C27" s="13">
        <v>1</v>
      </c>
      <c r="D27" s="14"/>
      <c r="E27" s="15">
        <v>1</v>
      </c>
      <c r="F27" s="11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1" t="s">
        <v>36</v>
      </c>
      <c r="C28" s="13">
        <v>1</v>
      </c>
      <c r="D28" s="14"/>
      <c r="E28" s="15">
        <v>1</v>
      </c>
      <c r="F28" s="11"/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1" t="s">
        <v>37</v>
      </c>
      <c r="C29" s="13">
        <v>1</v>
      </c>
      <c r="D29" s="14"/>
      <c r="E29" s="15">
        <v>1</v>
      </c>
      <c r="F29" s="11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1" t="s">
        <v>21</v>
      </c>
      <c r="C30" s="13">
        <v>1</v>
      </c>
      <c r="D30" s="14"/>
      <c r="E30" s="15">
        <v>1</v>
      </c>
      <c r="F30" s="11"/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1" t="s">
        <v>38</v>
      </c>
      <c r="C31" s="13">
        <v>2</v>
      </c>
      <c r="D31" s="14">
        <v>1</v>
      </c>
      <c r="E31" s="15">
        <v>1</v>
      </c>
      <c r="F31" s="11"/>
      <c r="G31" s="11" t="s">
        <v>39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1" t="s">
        <v>40</v>
      </c>
      <c r="C32" s="13">
        <v>1</v>
      </c>
      <c r="D32" s="14">
        <v>1</v>
      </c>
      <c r="E32" s="15"/>
      <c r="F32" s="11" t="s">
        <v>15</v>
      </c>
      <c r="G32" s="11" t="s">
        <v>41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1" t="s">
        <v>7</v>
      </c>
      <c r="C33" s="13">
        <v>1</v>
      </c>
      <c r="D33" s="14">
        <v>1</v>
      </c>
      <c r="E33" s="15"/>
      <c r="F33" s="11" t="s">
        <v>15</v>
      </c>
      <c r="G33" s="11" t="s">
        <v>42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1" t="s">
        <v>43</v>
      </c>
      <c r="C34" s="13">
        <v>1</v>
      </c>
      <c r="D34" s="14">
        <v>1</v>
      </c>
      <c r="E34" s="15"/>
      <c r="F34" s="11" t="s">
        <v>15</v>
      </c>
      <c r="G34" s="11" t="s">
        <v>44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1" t="s">
        <v>45</v>
      </c>
      <c r="C35" s="13">
        <v>3</v>
      </c>
      <c r="D35" s="14">
        <v>3</v>
      </c>
      <c r="E35" s="15"/>
      <c r="F35" s="11" t="s">
        <v>15</v>
      </c>
      <c r="G35" s="1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6" t="s">
        <v>46</v>
      </c>
      <c r="C36" s="3" t="s">
        <v>1</v>
      </c>
      <c r="D36" s="4" t="s">
        <v>2</v>
      </c>
      <c r="E36" s="5" t="s">
        <v>3</v>
      </c>
      <c r="F36" s="6" t="s">
        <v>4</v>
      </c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7" t="s">
        <v>6</v>
      </c>
      <c r="C37" s="8">
        <f t="shared" ref="C37:E37" si="5">SUM(C38:C47)</f>
        <v>9</v>
      </c>
      <c r="D37" s="9">
        <f t="shared" si="5"/>
        <v>5</v>
      </c>
      <c r="E37" s="10">
        <f t="shared" si="5"/>
        <v>4</v>
      </c>
      <c r="F37" s="11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1" t="s">
        <v>47</v>
      </c>
      <c r="C38" s="8">
        <v>1</v>
      </c>
      <c r="D38" s="9"/>
      <c r="E38" s="10">
        <v>1</v>
      </c>
      <c r="F38" s="11"/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1" t="s">
        <v>36</v>
      </c>
      <c r="C39" s="8">
        <v>1</v>
      </c>
      <c r="D39" s="9"/>
      <c r="E39" s="10">
        <v>1</v>
      </c>
      <c r="F39" s="11"/>
      <c r="G39" s="1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1" t="s">
        <v>10</v>
      </c>
      <c r="C40" s="8">
        <v>1</v>
      </c>
      <c r="D40" s="9"/>
      <c r="E40" s="10">
        <v>1</v>
      </c>
      <c r="F40" s="11"/>
      <c r="G40" s="1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 t="s">
        <v>48</v>
      </c>
      <c r="B41" s="11" t="s">
        <v>21</v>
      </c>
      <c r="C41" s="13">
        <v>1</v>
      </c>
      <c r="D41" s="14"/>
      <c r="E41" s="15">
        <v>1</v>
      </c>
      <c r="F41" s="11"/>
      <c r="G41" s="11"/>
      <c r="H41" s="1"/>
      <c r="I41" s="1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1" t="s">
        <v>49</v>
      </c>
      <c r="C42" s="13">
        <v>1</v>
      </c>
      <c r="D42" s="14">
        <v>1</v>
      </c>
      <c r="E42" s="15"/>
      <c r="F42" s="11" t="s">
        <v>15</v>
      </c>
      <c r="G42" s="11" t="s">
        <v>50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1" t="s">
        <v>17</v>
      </c>
      <c r="C43" s="13">
        <v>1</v>
      </c>
      <c r="D43" s="14">
        <v>1</v>
      </c>
      <c r="E43" s="15"/>
      <c r="F43" s="11" t="s">
        <v>15</v>
      </c>
      <c r="G43" s="11" t="s">
        <v>51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1" t="s">
        <v>27</v>
      </c>
      <c r="C44" s="13">
        <v>1</v>
      </c>
      <c r="D44" s="14">
        <v>1</v>
      </c>
      <c r="E44" s="15"/>
      <c r="F44" s="11" t="s">
        <v>15</v>
      </c>
      <c r="G44" s="11" t="s">
        <v>52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1" t="s">
        <v>14</v>
      </c>
      <c r="C45" s="13">
        <v>1</v>
      </c>
      <c r="D45" s="14">
        <v>1</v>
      </c>
      <c r="E45" s="15"/>
      <c r="F45" s="11" t="s">
        <v>15</v>
      </c>
      <c r="G45" s="11" t="s">
        <v>53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1" t="s">
        <v>54</v>
      </c>
      <c r="C46" s="13"/>
      <c r="D46" s="14"/>
      <c r="E46" s="15"/>
      <c r="F46" s="11" t="s">
        <v>15</v>
      </c>
      <c r="G46" s="11" t="s">
        <v>55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1" t="s">
        <v>56</v>
      </c>
      <c r="C47" s="13">
        <v>1</v>
      </c>
      <c r="D47" s="14">
        <v>1</v>
      </c>
      <c r="E47" s="15"/>
      <c r="F47" s="11" t="s">
        <v>15</v>
      </c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6" t="s">
        <v>57</v>
      </c>
      <c r="C48" s="3" t="s">
        <v>1</v>
      </c>
      <c r="D48" s="4" t="s">
        <v>2</v>
      </c>
      <c r="E48" s="5" t="s">
        <v>3</v>
      </c>
      <c r="F48" s="6" t="s">
        <v>4</v>
      </c>
      <c r="G48" s="1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7" t="s">
        <v>6</v>
      </c>
      <c r="C49" s="8">
        <f t="shared" ref="C49:E49" si="6">SUM(C50:C58)</f>
        <v>9</v>
      </c>
      <c r="D49" s="8">
        <f t="shared" si="6"/>
        <v>6</v>
      </c>
      <c r="E49" s="8">
        <f t="shared" si="6"/>
        <v>3</v>
      </c>
      <c r="F49" s="11"/>
      <c r="G49" s="1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1" t="s">
        <v>58</v>
      </c>
      <c r="C50" s="13">
        <v>1</v>
      </c>
      <c r="D50" s="14"/>
      <c r="E50" s="15">
        <v>1</v>
      </c>
      <c r="F50" s="11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1" t="s">
        <v>21</v>
      </c>
      <c r="C51" s="13">
        <v>1</v>
      </c>
      <c r="D51" s="14"/>
      <c r="E51" s="15">
        <v>1</v>
      </c>
      <c r="F51" s="11"/>
      <c r="G51" s="1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1" t="s">
        <v>10</v>
      </c>
      <c r="C52" s="13">
        <v>1</v>
      </c>
      <c r="D52" s="14"/>
      <c r="E52" s="15">
        <v>1</v>
      </c>
      <c r="F52" s="11"/>
      <c r="G52" s="1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1" t="s">
        <v>59</v>
      </c>
      <c r="C53" s="13">
        <v>1</v>
      </c>
      <c r="D53" s="14">
        <v>1</v>
      </c>
      <c r="E53" s="15"/>
      <c r="F53" s="11" t="s">
        <v>15</v>
      </c>
      <c r="G53" s="11" t="s">
        <v>60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1" t="s">
        <v>54</v>
      </c>
      <c r="C54" s="13">
        <v>1</v>
      </c>
      <c r="D54" s="14">
        <v>1</v>
      </c>
      <c r="E54" s="15">
        <v>0</v>
      </c>
      <c r="F54" s="11" t="s">
        <v>15</v>
      </c>
      <c r="G54" s="11" t="s">
        <v>61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1" t="s">
        <v>36</v>
      </c>
      <c r="C55" s="13">
        <v>1</v>
      </c>
      <c r="D55" s="14">
        <v>1</v>
      </c>
      <c r="E55" s="15">
        <v>0</v>
      </c>
      <c r="F55" s="11" t="s">
        <v>15</v>
      </c>
      <c r="G55" s="11" t="s">
        <v>62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1" t="s">
        <v>63</v>
      </c>
      <c r="C56" s="13">
        <v>1</v>
      </c>
      <c r="D56" s="14">
        <v>1</v>
      </c>
      <c r="E56" s="15">
        <v>0</v>
      </c>
      <c r="F56" s="11" t="s">
        <v>15</v>
      </c>
      <c r="G56" s="11" t="s">
        <v>64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1" t="s">
        <v>17</v>
      </c>
      <c r="C57" s="13">
        <v>1</v>
      </c>
      <c r="D57" s="14">
        <v>1</v>
      </c>
      <c r="E57" s="15">
        <v>0</v>
      </c>
      <c r="F57" s="11" t="s">
        <v>15</v>
      </c>
      <c r="G57" s="11" t="s">
        <v>65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11" t="s">
        <v>66</v>
      </c>
      <c r="C58" s="13">
        <v>1</v>
      </c>
      <c r="D58" s="14">
        <v>1</v>
      </c>
      <c r="E58" s="15">
        <v>0</v>
      </c>
      <c r="F58" s="11" t="s">
        <v>15</v>
      </c>
      <c r="G58" s="11" t="s">
        <v>67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8.25" customHeight="1">
      <c r="A59" s="51" t="s">
        <v>101</v>
      </c>
      <c r="B59" s="52" t="s">
        <v>68</v>
      </c>
      <c r="C59" s="53"/>
      <c r="D59" s="53"/>
      <c r="E59" s="53"/>
      <c r="F59" s="53"/>
      <c r="G59" s="5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8" t="s">
        <v>69</v>
      </c>
      <c r="C60" s="3" t="s">
        <v>1</v>
      </c>
      <c r="D60" s="4" t="s">
        <v>2</v>
      </c>
      <c r="E60" s="5" t="s">
        <v>3</v>
      </c>
      <c r="F60" s="6" t="s">
        <v>4</v>
      </c>
      <c r="G60" s="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7" t="s">
        <v>6</v>
      </c>
      <c r="C61" s="8">
        <f t="shared" ref="C61:E61" si="7">SUM(C62:C63)</f>
        <v>6</v>
      </c>
      <c r="D61" s="9">
        <f t="shared" si="7"/>
        <v>5</v>
      </c>
      <c r="E61" s="10">
        <f t="shared" si="7"/>
        <v>1</v>
      </c>
      <c r="F61" s="6"/>
      <c r="G61" s="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20" t="s">
        <v>70</v>
      </c>
      <c r="C62" s="21">
        <v>4</v>
      </c>
      <c r="D62" s="22">
        <v>4</v>
      </c>
      <c r="E62" s="23"/>
      <c r="F62" s="24" t="s">
        <v>15</v>
      </c>
      <c r="G62" s="2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25" t="s">
        <v>71</v>
      </c>
      <c r="C63" s="21">
        <v>2</v>
      </c>
      <c r="D63" s="22">
        <v>1</v>
      </c>
      <c r="E63" s="23">
        <v>1</v>
      </c>
      <c r="F63" s="24"/>
      <c r="G63" s="24" t="s">
        <v>72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8" t="s">
        <v>73</v>
      </c>
      <c r="C64" s="3" t="s">
        <v>1</v>
      </c>
      <c r="D64" s="4" t="s">
        <v>2</v>
      </c>
      <c r="E64" s="5" t="s">
        <v>3</v>
      </c>
      <c r="F64" s="6" t="s">
        <v>4</v>
      </c>
      <c r="G64" s="2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7" t="s">
        <v>6</v>
      </c>
      <c r="C65" s="8">
        <f t="shared" ref="C65:E65" si="8">SUM(C66:C70)</f>
        <v>6</v>
      </c>
      <c r="D65" s="9">
        <f t="shared" si="8"/>
        <v>3</v>
      </c>
      <c r="E65" s="10">
        <f t="shared" si="8"/>
        <v>3</v>
      </c>
      <c r="F65" s="6"/>
      <c r="G65" s="2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20" t="s">
        <v>74</v>
      </c>
      <c r="C66" s="21">
        <v>1</v>
      </c>
      <c r="D66" s="22"/>
      <c r="E66" s="23">
        <v>1</v>
      </c>
      <c r="F66" s="24"/>
      <c r="G66" s="2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25" t="s">
        <v>75</v>
      </c>
      <c r="C67" s="21">
        <v>1</v>
      </c>
      <c r="D67" s="22"/>
      <c r="E67" s="23">
        <v>1</v>
      </c>
      <c r="F67" s="24"/>
      <c r="G67" s="2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20" t="s">
        <v>76</v>
      </c>
      <c r="C68" s="21">
        <v>2</v>
      </c>
      <c r="D68" s="22">
        <v>1</v>
      </c>
      <c r="E68" s="23">
        <f>C68-D68</f>
        <v>1</v>
      </c>
      <c r="F68" s="24"/>
      <c r="G68" s="24" t="s">
        <v>77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20" t="s">
        <v>78</v>
      </c>
      <c r="C69" s="21">
        <v>1</v>
      </c>
      <c r="D69" s="22">
        <v>1</v>
      </c>
      <c r="E69" s="23"/>
      <c r="F69" s="24" t="s">
        <v>15</v>
      </c>
      <c r="G69" s="24" t="s">
        <v>79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20" t="s">
        <v>80</v>
      </c>
      <c r="C70" s="21">
        <v>1</v>
      </c>
      <c r="D70" s="22">
        <v>1</v>
      </c>
      <c r="E70" s="23"/>
      <c r="F70" s="24" t="s">
        <v>15</v>
      </c>
      <c r="G70" s="2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26" t="s">
        <v>81</v>
      </c>
      <c r="C71" s="3" t="s">
        <v>1</v>
      </c>
      <c r="D71" s="4" t="s">
        <v>2</v>
      </c>
      <c r="E71" s="5" t="s">
        <v>3</v>
      </c>
      <c r="F71" s="6" t="s">
        <v>4</v>
      </c>
      <c r="G71" s="2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7" t="s">
        <v>6</v>
      </c>
      <c r="C72" s="8">
        <f t="shared" ref="C72:E72" si="9">SUM(C73:C80)</f>
        <v>8</v>
      </c>
      <c r="D72" s="9">
        <f t="shared" si="9"/>
        <v>5</v>
      </c>
      <c r="E72" s="10">
        <f t="shared" si="9"/>
        <v>3</v>
      </c>
      <c r="F72" s="6"/>
      <c r="G72" s="2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20" t="s">
        <v>82</v>
      </c>
      <c r="C73" s="21">
        <v>1</v>
      </c>
      <c r="D73" s="22"/>
      <c r="E73" s="23">
        <f>C73-D73</f>
        <v>1</v>
      </c>
      <c r="F73" s="24"/>
      <c r="G73" s="2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27" t="s">
        <v>83</v>
      </c>
      <c r="C74" s="21">
        <v>1</v>
      </c>
      <c r="D74" s="22"/>
      <c r="E74" s="23">
        <v>1</v>
      </c>
      <c r="F74" s="24"/>
      <c r="G74" s="2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20" t="s">
        <v>84</v>
      </c>
      <c r="C75" s="21">
        <v>1</v>
      </c>
      <c r="D75" s="22"/>
      <c r="E75" s="23">
        <v>1</v>
      </c>
      <c r="F75" s="24"/>
      <c r="G75" s="2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20" t="s">
        <v>85</v>
      </c>
      <c r="C76" s="21">
        <v>1</v>
      </c>
      <c r="D76" s="22">
        <v>1</v>
      </c>
      <c r="E76" s="23"/>
      <c r="F76" s="24" t="s">
        <v>15</v>
      </c>
      <c r="G76" s="2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20" t="s">
        <v>86</v>
      </c>
      <c r="C77" s="21">
        <v>1</v>
      </c>
      <c r="D77" s="22">
        <v>1</v>
      </c>
      <c r="E77" s="23"/>
      <c r="F77" s="24" t="s">
        <v>15</v>
      </c>
      <c r="G77" s="2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20" t="s">
        <v>87</v>
      </c>
      <c r="C78" s="21">
        <v>1</v>
      </c>
      <c r="D78" s="22">
        <v>1</v>
      </c>
      <c r="E78" s="23"/>
      <c r="F78" s="24" t="s">
        <v>15</v>
      </c>
      <c r="G78" s="2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20" t="s">
        <v>88</v>
      </c>
      <c r="C79" s="21">
        <v>1</v>
      </c>
      <c r="D79" s="22">
        <v>1</v>
      </c>
      <c r="E79" s="23"/>
      <c r="F79" s="24" t="s">
        <v>15</v>
      </c>
      <c r="G79" s="2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20" t="s">
        <v>89</v>
      </c>
      <c r="C80" s="21">
        <v>1</v>
      </c>
      <c r="D80" s="22">
        <v>1</v>
      </c>
      <c r="E80" s="23"/>
      <c r="F80" s="24" t="s">
        <v>15</v>
      </c>
      <c r="G80" s="2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26" t="s">
        <v>90</v>
      </c>
      <c r="C81" s="3" t="s">
        <v>1</v>
      </c>
      <c r="D81" s="4" t="s">
        <v>2</v>
      </c>
      <c r="E81" s="5" t="s">
        <v>3</v>
      </c>
      <c r="F81" s="6" t="s">
        <v>4</v>
      </c>
      <c r="G81" s="2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7" t="s">
        <v>6</v>
      </c>
      <c r="C82" s="8">
        <f t="shared" ref="C82:E82" si="10">SUM(C83)</f>
        <v>1</v>
      </c>
      <c r="D82" s="9">
        <f t="shared" si="10"/>
        <v>0</v>
      </c>
      <c r="E82" s="10">
        <f t="shared" si="10"/>
        <v>1</v>
      </c>
      <c r="F82" s="6"/>
      <c r="G82" s="2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20" t="s">
        <v>91</v>
      </c>
      <c r="C83" s="21">
        <v>1</v>
      </c>
      <c r="D83" s="22"/>
      <c r="E83" s="23">
        <v>1</v>
      </c>
      <c r="F83" s="24"/>
      <c r="G83" s="24" t="s">
        <v>92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26" t="s">
        <v>93</v>
      </c>
      <c r="C84" s="3" t="s">
        <v>1</v>
      </c>
      <c r="D84" s="4" t="s">
        <v>2</v>
      </c>
      <c r="E84" s="5" t="s">
        <v>3</v>
      </c>
      <c r="F84" s="6" t="s">
        <v>4</v>
      </c>
      <c r="G84" s="2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7" t="s">
        <v>6</v>
      </c>
      <c r="C85" s="8">
        <f t="shared" ref="C85:E85" si="11">SUM(C86)</f>
        <v>1</v>
      </c>
      <c r="D85" s="9">
        <f t="shared" si="11"/>
        <v>1</v>
      </c>
      <c r="E85" s="10">
        <f t="shared" si="11"/>
        <v>0</v>
      </c>
      <c r="F85" s="6"/>
      <c r="G85" s="2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20" t="s">
        <v>94</v>
      </c>
      <c r="C86" s="21">
        <v>1</v>
      </c>
      <c r="D86" s="22">
        <v>1</v>
      </c>
      <c r="E86" s="23"/>
      <c r="F86" s="24" t="s">
        <v>15</v>
      </c>
      <c r="G86" s="2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26" t="s">
        <v>95</v>
      </c>
      <c r="C87" s="3" t="s">
        <v>1</v>
      </c>
      <c r="D87" s="4" t="s">
        <v>2</v>
      </c>
      <c r="E87" s="5" t="s">
        <v>3</v>
      </c>
      <c r="F87" s="6" t="s">
        <v>4</v>
      </c>
      <c r="G87" s="2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7" t="s">
        <v>6</v>
      </c>
      <c r="C88" s="8">
        <f t="shared" ref="C88:E88" si="12">SUM(C89:C99)</f>
        <v>3</v>
      </c>
      <c r="D88" s="9">
        <f t="shared" si="12"/>
        <v>0</v>
      </c>
      <c r="E88" s="10">
        <f t="shared" si="12"/>
        <v>3</v>
      </c>
      <c r="F88" s="6"/>
      <c r="G88" s="2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20" t="s">
        <v>96</v>
      </c>
      <c r="C89" s="21">
        <v>1</v>
      </c>
      <c r="D89" s="22"/>
      <c r="E89" s="23">
        <v>1</v>
      </c>
      <c r="F89" s="24"/>
      <c r="G89" s="2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20" t="s">
        <v>97</v>
      </c>
      <c r="C90" s="21">
        <v>1</v>
      </c>
      <c r="D90" s="22"/>
      <c r="E90" s="23">
        <v>1</v>
      </c>
      <c r="F90" s="24"/>
      <c r="G90" s="2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20" t="s">
        <v>98</v>
      </c>
      <c r="C91" s="21">
        <v>1</v>
      </c>
      <c r="D91" s="22"/>
      <c r="E91" s="23">
        <v>1</v>
      </c>
      <c r="F91" s="24"/>
      <c r="G91" s="24" t="s">
        <v>99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3">
    <mergeCell ref="B3:G3"/>
    <mergeCell ref="B59:G59"/>
    <mergeCell ref="A1:G1"/>
  </mergeCells>
  <pageMargins left="0.7" right="0.7" top="0.75" bottom="0.75" header="0" footer="0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Dao, Le Thi Hoa</dc:creator>
  <cp:lastModifiedBy>tnec.mkt</cp:lastModifiedBy>
  <cp:lastPrinted>2026-06-08T02:23:22Z</cp:lastPrinted>
  <dcterms:created xsi:type="dcterms:W3CDTF">2026-05-14T02:48:57Z</dcterms:created>
  <dcterms:modified xsi:type="dcterms:W3CDTF">2026-06-08T02:25:21Z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0x010100224F4531241CBE44A4D1CF295F03EA9B</vt:lpwstr>
  </property>
  <property fmtid="{D5CDD505-2E9C-101B-9397-08002B2CF9AE}" pid="3" name="MediaServiceImageTags">
    <vt:lpwstr/>
  </property>
</Properties>
</file>