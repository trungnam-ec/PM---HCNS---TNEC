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BC TUẦ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2">
    <font>
      <name val="Calibri"/>
      <color theme="1"/>
      <sz val="11"/>
      <scheme val="minor"/>
    </font>
    <font>
      <name val="Times New Roman"/>
      <color rgb="FF002060"/>
      <sz val="12"/>
    </font>
    <font>
      <name val="Calibri"/>
      <sz val="11"/>
    </font>
    <font>
      <name val="Times New Roman"/>
      <b val="1"/>
      <color rgb="FF002060"/>
      <sz val="12"/>
    </font>
    <font>
      <name val="Times New Roman"/>
      <color rgb="FFFF0000"/>
      <sz val="12"/>
    </font>
    <font>
      <name val="Times New Roman"/>
      <b val="1"/>
      <color rgb="FF002060"/>
      <sz val="18"/>
    </font>
    <font>
      <name val="Times New Roman"/>
      <color rgb="FF002060"/>
      <sz val="18"/>
    </font>
    <font>
      <name val="Times New Roman"/>
      <color theme="1"/>
      <sz val="11"/>
    </font>
    <font>
      <name val="Times New Roman"/>
      <color theme="1"/>
      <sz val="11"/>
    </font>
    <font>
      <name val="Times New Roman"/>
      <family val="1"/>
      <b val="1"/>
      <color rgb="FF002060"/>
      <sz val="12"/>
    </font>
    <font>
      <name val="Open Sans"/>
      <family val="2"/>
      <b val="1"/>
      <color rgb="FF002060"/>
      <sz val="16"/>
    </font>
    <font>
      <name val="Calibri"/>
      <family val="2"/>
      <b val="1"/>
      <color rgb="FF0070C0"/>
      <sz val="22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0"/>
      </patternFill>
    </fill>
    <fill>
      <patternFill patternType="solid">
        <fgColor theme="2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2060"/>
      </bottom>
      <diagonal/>
    </border>
    <border>
      <left/>
      <right/>
      <top style="thin">
        <color rgb="FF000000"/>
      </top>
      <bottom style="thin">
        <color rgb="FF002060"/>
      </bottom>
      <diagonal/>
    </border>
    <border>
      <left/>
      <right style="thin">
        <color rgb="FF000000"/>
      </right>
      <top style="thin">
        <color rgb="FF000000"/>
      </top>
      <bottom style="thin">
        <color rgb="FF00206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06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3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right" vertical="center"/>
    </xf>
    <xf numFmtId="164" fontId="3" fillId="4" borderId="4" applyAlignment="1" pivotButton="0" quotePrefix="0" xfId="0">
      <alignment horizontal="center" vertical="center"/>
    </xf>
    <xf numFmtId="164" fontId="3" fillId="5" borderId="4" applyAlignment="1" pivotButton="0" quotePrefix="0" xfId="0">
      <alignment horizontal="center" vertical="center"/>
    </xf>
    <xf numFmtId="164" fontId="3" fillId="6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164" fontId="1" fillId="4" borderId="4" applyAlignment="1" pivotButton="0" quotePrefix="0" xfId="0">
      <alignment horizontal="center" vertical="center"/>
    </xf>
    <xf numFmtId="164" fontId="1" fillId="5" borderId="4" applyAlignment="1" pivotButton="0" quotePrefix="0" xfId="0">
      <alignment horizontal="center" vertical="center"/>
    </xf>
    <xf numFmtId="164" fontId="1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0" borderId="4" applyAlignment="1" pivotButton="0" quotePrefix="0" xfId="0">
      <alignment wrapText="1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7" fillId="7" borderId="4" applyAlignment="1" pivotButton="0" quotePrefix="0" xfId="0">
      <alignment wrapText="1"/>
    </xf>
    <xf numFmtId="0" fontId="3" fillId="0" borderId="4" applyAlignment="1" pivotButton="0" quotePrefix="0" xfId="0">
      <alignment horizontal="center" vertical="center"/>
    </xf>
    <xf numFmtId="0" fontId="8" fillId="0" borderId="4" pivotButton="0" quotePrefix="0" xfId="0"/>
    <xf numFmtId="0" fontId="8" fillId="0" borderId="0" pivotButton="0" quotePrefix="0" xfId="0"/>
    <xf numFmtId="0" fontId="3" fillId="3" borderId="8" applyAlignment="1" pivotButton="0" quotePrefix="0" xfId="0">
      <alignment horizontal="left" vertical="center"/>
    </xf>
    <xf numFmtId="0" fontId="3" fillId="4" borderId="8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left" vertical="center"/>
    </xf>
    <xf numFmtId="0" fontId="3" fillId="3" borderId="9" applyAlignment="1" pivotButton="0" quotePrefix="0" xfId="0">
      <alignment horizontal="left" vertical="center"/>
    </xf>
    <xf numFmtId="0" fontId="3" fillId="4" borderId="9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right" vertical="center"/>
    </xf>
    <xf numFmtId="164" fontId="3" fillId="4" borderId="9" applyAlignment="1" pivotButton="0" quotePrefix="0" xfId="0">
      <alignment horizontal="center" vertical="center"/>
    </xf>
    <xf numFmtId="164" fontId="3" fillId="5" borderId="9" applyAlignment="1" pivotButton="0" quotePrefix="0" xfId="0">
      <alignment horizontal="center" vertical="center"/>
    </xf>
    <xf numFmtId="164" fontId="3" fillId="6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164" fontId="1" fillId="4" borderId="9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64" fontId="1" fillId="6" borderId="9" applyAlignment="1" pivotButton="0" quotePrefix="0" xfId="0">
      <alignment horizontal="center"/>
    </xf>
    <xf numFmtId="0" fontId="4" fillId="2" borderId="9" applyAlignment="1" pivotButton="0" quotePrefix="0" xfId="0">
      <alignment horizontal="left" vertical="center"/>
    </xf>
    <xf numFmtId="0" fontId="1" fillId="0" borderId="9" applyAlignment="1" pivotButton="0" quotePrefix="0" xfId="0">
      <alignment vertical="center"/>
    </xf>
    <xf numFmtId="0" fontId="1" fillId="2" borderId="9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2" fillId="8" borderId="6" pivotButton="0" quotePrefix="0" xfId="0"/>
    <xf numFmtId="0" fontId="2" fillId="8" borderId="7" pivotButton="0" quotePrefix="0" xfId="0"/>
    <xf numFmtId="0" fontId="2" fillId="8" borderId="2" pivotButton="0" quotePrefix="0" xfId="0"/>
    <xf numFmtId="0" fontId="2" fillId="8" borderId="3" pivotButton="0" quotePrefix="0" xfId="0"/>
    <xf numFmtId="0" fontId="10" fillId="9" borderId="1" applyAlignment="1" pivotButton="0" quotePrefix="0" xfId="0">
      <alignment horizontal="center" vertical="center"/>
    </xf>
    <xf numFmtId="0" fontId="11" fillId="10" borderId="0" applyAlignment="1" pivotButton="0" quotePrefix="0" xfId="0">
      <alignment horizontal="right" vertical="center"/>
    </xf>
    <xf numFmtId="0" fontId="10" fillId="9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8" borderId="1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2752725</colOff>
      <row>1</row>
      <rowOff>82200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362325" cy="1053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tabSelected="1" workbookViewId="0">
      <pane ySplit="4" topLeftCell="A59" activePane="bottomLeft" state="frozen"/>
      <selection pane="bottomLeft" activeCell="B96" sqref="B96"/>
    </sheetView>
  </sheetViews>
  <sheetFormatPr baseColWidth="8" defaultColWidth="14.42578125" defaultRowHeight="15" customHeight="1"/>
  <cols>
    <col width="9.140625" customWidth="1" min="1" max="1"/>
    <col width="45.5703125" customWidth="1" min="2" max="2"/>
    <col width="10.42578125" customWidth="1" min="3" max="3"/>
    <col width="14.140625" customWidth="1" min="4" max="4"/>
    <col width="14" customWidth="1" min="5" max="5"/>
    <col width="9.42578125" customWidth="1" min="6" max="6"/>
    <col width="44.85546875" customWidth="1" min="7" max="7"/>
    <col width="9.140625" customWidth="1" min="8" max="9"/>
    <col width="8.7109375" customWidth="1" min="10" max="26"/>
  </cols>
  <sheetData>
    <row r="1" ht="76.5" customHeight="1">
      <c r="A1" s="58" t="inlineStr">
        <is>
          <t>BÁO CÁO TUYỂN DỤNG TUẦN TRUNGNAM E&amp;C</t>
        </is>
      </c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0.75" customHeight="1">
      <c r="A3" s="51" t="inlineStr">
        <is>
          <t>I</t>
        </is>
      </c>
      <c r="B3" s="59" t="inlineStr">
        <is>
          <t>KHỐI DỰ ÁN</t>
        </is>
      </c>
      <c r="C3" s="60" t="n"/>
      <c r="D3" s="60" t="n"/>
      <c r="E3" s="60" t="n"/>
      <c r="F3" s="60" t="n"/>
      <c r="G3" s="6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>
      <c r="A5" s="1" t="n"/>
      <c r="B5" s="35" t="inlineStr">
        <is>
          <t>RẠCH XUYÊN TÂM - Bình Thạnh - HCM</t>
        </is>
      </c>
      <c r="C5" s="36" t="inlineStr">
        <is>
          <t>Nhu cầu</t>
        </is>
      </c>
      <c r="D5" s="37" t="inlineStr">
        <is>
          <t>Đã tuyển</t>
        </is>
      </c>
      <c r="E5" s="38" t="inlineStr">
        <is>
          <t>Đang tuyển</t>
        </is>
      </c>
      <c r="F5" s="39" t="inlineStr">
        <is>
          <t>Tiến độ</t>
        </is>
      </c>
      <c r="G5" s="39" t="inlineStr">
        <is>
          <t>Ghi chú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>
      <c r="A6" s="1" t="n"/>
      <c r="B6" s="40" t="inlineStr">
        <is>
          <t>Số lượng định biên</t>
        </is>
      </c>
      <c r="C6" s="41">
        <f>SUM(C7:C13)</f>
        <v/>
      </c>
      <c r="D6" s="42">
        <f>SUM(D7:D13)</f>
        <v/>
      </c>
      <c r="E6" s="43">
        <f>SUM(E7:E13)</f>
        <v/>
      </c>
      <c r="F6" s="44" t="n"/>
      <c r="G6" s="44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>
      <c r="A7" s="1" t="n"/>
      <c r="B7" s="44" t="inlineStr">
        <is>
          <t>Kỹ sư hiện trường</t>
        </is>
      </c>
      <c r="C7" s="45" t="n">
        <v>1</v>
      </c>
      <c r="D7" s="46" t="n">
        <v>0</v>
      </c>
      <c r="E7" s="47">
        <f>C7-D7</f>
        <v/>
      </c>
      <c r="F7" s="44" t="inlineStr"/>
      <c r="G7" s="48" t="inlineStr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>
      <c r="A8" s="1" t="n"/>
      <c r="B8" s="49" t="inlineStr">
        <is>
          <t>Kế toán HC</t>
        </is>
      </c>
      <c r="C8" s="45" t="n">
        <v>1</v>
      </c>
      <c r="D8" s="46" t="n">
        <v>1</v>
      </c>
      <c r="E8" s="47">
        <f>C8-D8</f>
        <v/>
      </c>
      <c r="F8" s="44" t="inlineStr">
        <is>
          <t>Done</t>
        </is>
      </c>
      <c r="G8" s="44" t="inlineStr">
        <is>
          <t>Vũ Thanh Long 1/6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>
      <c r="A9" s="1" t="n"/>
      <c r="B9" s="44" t="inlineStr">
        <is>
          <t>Kỹ sư trắc đạc</t>
        </is>
      </c>
      <c r="C9" s="45" t="n">
        <v>1</v>
      </c>
      <c r="D9" s="46" t="n">
        <v>1</v>
      </c>
      <c r="E9" s="47">
        <f>C9-D9</f>
        <v/>
      </c>
      <c r="F9" s="44" t="inlineStr">
        <is>
          <t>Done</t>
        </is>
      </c>
      <c r="G9" s="44" t="inlineStr">
        <is>
          <t>Nguyễn Lê Cường 5/6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>
      <c r="A10" s="1" t="n"/>
      <c r="B10" s="44" t="inlineStr">
        <is>
          <t>CHP</t>
        </is>
      </c>
      <c r="C10" s="45" t="n">
        <v>2</v>
      </c>
      <c r="D10" s="46" t="n">
        <v>0</v>
      </c>
      <c r="E10" s="47">
        <f>C10-D10</f>
        <v/>
      </c>
      <c r="F10" s="44" t="inlineStr"/>
      <c r="G10" s="50" t="inlineStr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>
      <c r="A11" s="1" t="n"/>
      <c r="B11" s="44" t="inlineStr">
        <is>
          <t>QA/QC</t>
        </is>
      </c>
      <c r="C11" s="45" t="n">
        <v>1</v>
      </c>
      <c r="D11" s="46" t="n">
        <v>0</v>
      </c>
      <c r="E11" s="47">
        <f>C11-D11</f>
        <v/>
      </c>
      <c r="F11" s="44" t="inlineStr"/>
      <c r="G11" s="44" t="inlineStr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>
      <c r="A12" s="1" t="n"/>
      <c r="B12" s="44" t="inlineStr">
        <is>
          <t>Chuyên viên QS</t>
        </is>
      </c>
      <c r="C12" s="45" t="n">
        <v>1</v>
      </c>
      <c r="D12" s="46" t="n">
        <v>0</v>
      </c>
      <c r="E12" s="47">
        <f>C12-D12</f>
        <v/>
      </c>
      <c r="F12" s="44" t="inlineStr"/>
      <c r="G12" s="44" t="inlineStr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>
      <c r="A13" s="1" t="n"/>
      <c r="B13" s="44" t="inlineStr">
        <is>
          <t>Cán bộ ATLD</t>
        </is>
      </c>
      <c r="C13" s="45" t="n">
        <v>1</v>
      </c>
      <c r="D13" s="46" t="n">
        <v>0</v>
      </c>
      <c r="E13" s="47">
        <f>C13-D13</f>
        <v/>
      </c>
      <c r="F13" s="44" t="inlineStr"/>
      <c r="G13" s="44" t="inlineStr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>
      <c r="A14" s="1" t="n"/>
      <c r="B14" s="29" t="inlineStr">
        <is>
          <t>TỈNH LỘ 8 - Củ Chi - HCM</t>
        </is>
      </c>
      <c r="C14" s="30" t="inlineStr">
        <is>
          <t>Nhu cầu</t>
        </is>
      </c>
      <c r="D14" s="31" t="inlineStr">
        <is>
          <t>Đã tuyển</t>
        </is>
      </c>
      <c r="E14" s="32" t="inlineStr">
        <is>
          <t>Đang tuyển</t>
        </is>
      </c>
      <c r="F14" s="33" t="inlineStr">
        <is>
          <t>Tiến độ</t>
        </is>
      </c>
      <c r="G14" s="34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>
      <c r="A15" s="1" t="n"/>
      <c r="B15" s="7" t="inlineStr">
        <is>
          <t>Số lượng định biên</t>
        </is>
      </c>
      <c r="C15" s="8">
        <f>SUM(C16:C19)</f>
        <v/>
      </c>
      <c r="D15" s="9">
        <f>SUM(D16:D19)</f>
        <v/>
      </c>
      <c r="E15" s="10">
        <f>SUM(E16:E19)</f>
        <v/>
      </c>
      <c r="F15" s="11" t="n"/>
      <c r="G15" s="1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>
      <c r="A16" s="1" t="n"/>
      <c r="B16" s="11" t="inlineStr">
        <is>
          <t>Trưởng BP QA/QC</t>
        </is>
      </c>
      <c r="C16" s="13" t="n"/>
      <c r="D16" s="14" t="inlineStr">
        <is>
          <t>-</t>
        </is>
      </c>
      <c r="E16" s="15" t="n"/>
      <c r="F16" s="11" t="n"/>
      <c r="G16" s="11" t="inlineStr">
        <is>
          <t>SMC tuyển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>
      <c r="A17" s="1" t="n"/>
      <c r="B17" s="11" t="inlineStr">
        <is>
          <t>GD Dự án</t>
        </is>
      </c>
      <c r="C17" s="13" t="n">
        <v>1</v>
      </c>
      <c r="D17" s="14" t="n">
        <v>0</v>
      </c>
      <c r="E17" s="15" t="inlineStr">
        <is>
          <t>-</t>
        </is>
      </c>
      <c r="F17" s="11" t="inlineStr"/>
      <c r="G17" s="11" t="inlineStr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>
      <c r="A18" s="1" t="n"/>
      <c r="B18" s="11" t="inlineStr">
        <is>
          <t>CHT (Pháp lý)</t>
        </is>
      </c>
      <c r="C18" s="13" t="n">
        <v>1</v>
      </c>
      <c r="D18" s="14" t="n">
        <v>0</v>
      </c>
      <c r="E18" s="15" t="inlineStr">
        <is>
          <t>-</t>
        </is>
      </c>
      <c r="F18" s="11" t="inlineStr"/>
      <c r="G18" s="11" t="inlineStr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>
      <c r="A19" s="1" t="n"/>
      <c r="B19" s="11" t="inlineStr">
        <is>
          <t>Chuyên viên QS</t>
        </is>
      </c>
      <c r="C19" s="13" t="n">
        <v>1</v>
      </c>
      <c r="D19" s="14" t="n">
        <v>0</v>
      </c>
      <c r="E19" s="15" t="inlineStr">
        <is>
          <t>-</t>
        </is>
      </c>
      <c r="F19" s="11" t="inlineStr"/>
      <c r="G19" s="11" t="inlineStr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>
      <c r="A20" s="1" t="n"/>
      <c r="B20" s="2" t="inlineStr">
        <is>
          <t>CẦU MÃ ĐÀ - Nối Đồng Nai - Bình Phước</t>
        </is>
      </c>
      <c r="C20" s="3" t="inlineStr">
        <is>
          <t>Nhu cầu</t>
        </is>
      </c>
      <c r="D20" s="4" t="inlineStr">
        <is>
          <t>Đã tuyển</t>
        </is>
      </c>
      <c r="E20" s="5" t="inlineStr">
        <is>
          <t>Đang tuyển</t>
        </is>
      </c>
      <c r="F20" s="6" t="inlineStr">
        <is>
          <t>Tiến độ</t>
        </is>
      </c>
      <c r="G20" s="1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7" t="inlineStr">
        <is>
          <t>Số lượng định biên</t>
        </is>
      </c>
      <c r="C21" s="8">
        <f>SUM(C22:C24)</f>
        <v/>
      </c>
      <c r="D21" s="9">
        <f>SUM(D22:D24)</f>
        <v/>
      </c>
      <c r="E21" s="10">
        <f>SUM(E22:E24)</f>
        <v/>
      </c>
      <c r="F21" s="11" t="n"/>
      <c r="G21" s="1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1" t="inlineStr">
        <is>
          <t>Kỹ sư hiện trường</t>
        </is>
      </c>
      <c r="C22" s="13" t="n">
        <v>3</v>
      </c>
      <c r="D22" s="14" t="n">
        <v>0</v>
      </c>
      <c r="E22" s="15" t="n">
        <v>3</v>
      </c>
      <c r="F22" s="11" t="inlineStr"/>
      <c r="G22" s="11" t="inlineStr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1" t="inlineStr">
        <is>
          <t>Kỹ sư trắc đạc</t>
        </is>
      </c>
      <c r="C23" s="13" t="n">
        <v>1</v>
      </c>
      <c r="D23" s="14" t="n">
        <v>0</v>
      </c>
      <c r="E23" s="15" t="n">
        <v>1</v>
      </c>
      <c r="F23" s="11" t="inlineStr"/>
      <c r="G23" s="11" t="inlineStr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1" t="inlineStr">
        <is>
          <t>Cán bộ ATLD</t>
        </is>
      </c>
      <c r="C24" s="13" t="n">
        <v>1</v>
      </c>
      <c r="D24" s="14" t="n">
        <v>1</v>
      </c>
      <c r="E24" s="15" t="n"/>
      <c r="F24" s="11" t="inlineStr">
        <is>
          <t>Done</t>
        </is>
      </c>
      <c r="G24" s="11" t="inlineStr">
        <is>
          <t>Bùi Văn Hòa 22/6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2" t="inlineStr">
        <is>
          <t>ĐIỆN MẶT TRỜI TRÀ VINH GD 2</t>
        </is>
      </c>
      <c r="C25" s="3" t="inlineStr">
        <is>
          <t>Nhu cầu</t>
        </is>
      </c>
      <c r="D25" s="4" t="inlineStr">
        <is>
          <t>Đã tuyển</t>
        </is>
      </c>
      <c r="E25" s="5" t="inlineStr">
        <is>
          <t>Đang tuyển</t>
        </is>
      </c>
      <c r="F25" s="6" t="inlineStr">
        <is>
          <t>Tiến độ</t>
        </is>
      </c>
      <c r="G25" s="1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7" t="inlineStr">
        <is>
          <t>Số lượng định biên</t>
        </is>
      </c>
      <c r="C26" s="8">
        <f>SUM(C27:C35)</f>
        <v/>
      </c>
      <c r="D26" s="9">
        <f>SUM(D27:D35)</f>
        <v/>
      </c>
      <c r="E26" s="10">
        <f>SUM(E27:E35)</f>
        <v/>
      </c>
      <c r="F26" s="11" t="n"/>
      <c r="G26" s="1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1" t="inlineStr">
        <is>
          <t>CHP Phụ trách mảng XD</t>
        </is>
      </c>
      <c r="C27" s="13" t="n">
        <v>1</v>
      </c>
      <c r="D27" s="14" t="n">
        <v>0</v>
      </c>
      <c r="E27" s="15" t="n">
        <v>1</v>
      </c>
      <c r="F27" s="11" t="inlineStr"/>
      <c r="G27" s="11" t="inlineStr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1" t="inlineStr">
        <is>
          <t>Trắc đạc</t>
        </is>
      </c>
      <c r="C28" s="13" t="n">
        <v>1</v>
      </c>
      <c r="D28" s="14" t="n">
        <v>0</v>
      </c>
      <c r="E28" s="15" t="n">
        <v>1</v>
      </c>
      <c r="F28" s="11" t="inlineStr"/>
      <c r="G28" s="11" t="inlineStr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1" t="inlineStr">
        <is>
          <t>Quản lí vật tư</t>
        </is>
      </c>
      <c r="C29" s="13" t="n">
        <v>1</v>
      </c>
      <c r="D29" s="14" t="n">
        <v>0</v>
      </c>
      <c r="E29" s="15" t="n">
        <v>1</v>
      </c>
      <c r="F29" s="11" t="inlineStr"/>
      <c r="G29" s="11" t="inlineStr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1" t="inlineStr">
        <is>
          <t>Cán bộ ATLD</t>
        </is>
      </c>
      <c r="C30" s="13" t="n">
        <v>1</v>
      </c>
      <c r="D30" s="14" t="n">
        <v>0</v>
      </c>
      <c r="E30" s="15" t="n">
        <v>1</v>
      </c>
      <c r="F30" s="11" t="inlineStr"/>
      <c r="G30" s="11" t="inlineStr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1" t="inlineStr">
        <is>
          <t>Chuyên viên Kỹ thuật</t>
        </is>
      </c>
      <c r="C31" s="13" t="n">
        <v>2</v>
      </c>
      <c r="D31" s="14" t="n">
        <v>0</v>
      </c>
      <c r="E31" s="15" t="n">
        <v>1</v>
      </c>
      <c r="F31" s="11" t="inlineStr"/>
      <c r="G31" s="11" t="inlineStr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1" t="inlineStr">
        <is>
          <t>Kỹ sư thiết kế</t>
        </is>
      </c>
      <c r="C32" s="13" t="n">
        <v>1</v>
      </c>
      <c r="D32" s="14" t="n">
        <v>1</v>
      </c>
      <c r="E32" s="15" t="n"/>
      <c r="F32" s="11" t="inlineStr">
        <is>
          <t>Done</t>
        </is>
      </c>
      <c r="G32" s="11" t="inlineStr">
        <is>
          <t>Trương Huy Hoàng 18/6</t>
        </is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1" t="inlineStr">
        <is>
          <t>Kỹ sư hiện trường</t>
        </is>
      </c>
      <c r="C33" s="13" t="n">
        <v>1</v>
      </c>
      <c r="D33" s="14" t="n">
        <v>0</v>
      </c>
      <c r="E33" s="15" t="n"/>
      <c r="F33" s="11" t="inlineStr"/>
      <c r="G33" s="11" t="inlineStr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1" t="inlineStr">
        <is>
          <t>M&amp;E</t>
        </is>
      </c>
      <c r="C34" s="13" t="n">
        <v>1</v>
      </c>
      <c r="D34" s="14" t="n">
        <v>0</v>
      </c>
      <c r="E34" s="15" t="n"/>
      <c r="F34" s="11" t="inlineStr"/>
      <c r="G34" s="11" t="inlineStr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1" t="inlineStr">
        <is>
          <t>Phụ kho</t>
        </is>
      </c>
      <c r="C35" s="13" t="n">
        <v>3</v>
      </c>
      <c r="D35" s="14" t="n">
        <v>0</v>
      </c>
      <c r="E35" s="15" t="n"/>
      <c r="F35" s="11" t="inlineStr"/>
      <c r="G35" s="11" t="inlineStr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6" t="inlineStr">
        <is>
          <t>CỐNG ÂU THUYỀN VÀM LẼO - Vĩnh Lợi, tỉnh Bạc Liêu</t>
        </is>
      </c>
      <c r="C36" s="3" t="inlineStr">
        <is>
          <t>Nhu cầu</t>
        </is>
      </c>
      <c r="D36" s="4" t="inlineStr">
        <is>
          <t>Đã tuyển</t>
        </is>
      </c>
      <c r="E36" s="5" t="inlineStr">
        <is>
          <t>Đang tuyển</t>
        </is>
      </c>
      <c r="F36" s="6" t="inlineStr">
        <is>
          <t>Tiến độ</t>
        </is>
      </c>
      <c r="G36" s="1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7" t="inlineStr">
        <is>
          <t>Số lượng định biên</t>
        </is>
      </c>
      <c r="C37" s="8">
        <f>SUM(C38:C47)</f>
        <v/>
      </c>
      <c r="D37" s="9">
        <f>SUM(D38:D47)</f>
        <v/>
      </c>
      <c r="E37" s="10">
        <f>SUM(E38:E47)</f>
        <v/>
      </c>
      <c r="F37" s="11" t="n"/>
      <c r="G37" s="1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1" t="inlineStr">
        <is>
          <t>Cán bộ kỹ thuật</t>
        </is>
      </c>
      <c r="C38" s="8" t="n">
        <v>1</v>
      </c>
      <c r="D38" s="9" t="n">
        <v>0</v>
      </c>
      <c r="E38" s="10" t="n">
        <v>1</v>
      </c>
      <c r="F38" s="11" t="inlineStr"/>
      <c r="G38" s="11" t="inlineStr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1" t="inlineStr">
        <is>
          <t>Trắc đạc</t>
        </is>
      </c>
      <c r="C39" s="8" t="n">
        <v>1</v>
      </c>
      <c r="D39" s="9" t="n">
        <v>0</v>
      </c>
      <c r="E39" s="10" t="n">
        <v>1</v>
      </c>
      <c r="F39" s="11" t="inlineStr"/>
      <c r="G39" s="12" t="inlineStr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1" t="inlineStr">
        <is>
          <t>Kế toán HC</t>
        </is>
      </c>
      <c r="C40" s="8" t="n">
        <v>1</v>
      </c>
      <c r="D40" s="9" t="n">
        <v>0</v>
      </c>
      <c r="E40" s="10" t="n">
        <v>1</v>
      </c>
      <c r="F40" s="11" t="inlineStr"/>
      <c r="G40" s="12" t="inlineStr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inlineStr">
        <is>
          <t xml:space="preserve">  </t>
        </is>
      </c>
      <c r="B41" s="11" t="inlineStr">
        <is>
          <t>Cán bộ ATLD</t>
        </is>
      </c>
      <c r="C41" s="13" t="n">
        <v>1</v>
      </c>
      <c r="D41" s="14" t="n">
        <v>0</v>
      </c>
      <c r="E41" s="15" t="n">
        <v>1</v>
      </c>
      <c r="F41" s="11" t="inlineStr"/>
      <c r="G41" s="11" t="inlineStr"/>
      <c r="H41" s="1" t="n"/>
      <c r="I41" s="1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1" t="inlineStr">
        <is>
          <t>QS</t>
        </is>
      </c>
      <c r="C42" s="13" t="n">
        <v>1</v>
      </c>
      <c r="D42" s="14" t="n">
        <v>0</v>
      </c>
      <c r="E42" s="15" t="n"/>
      <c r="F42" s="11" t="inlineStr"/>
      <c r="G42" s="11" t="inlineStr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1" t="inlineStr">
        <is>
          <t>QA/QC</t>
        </is>
      </c>
      <c r="C43" s="13" t="n">
        <v>1</v>
      </c>
      <c r="D43" s="14" t="n">
        <v>0</v>
      </c>
      <c r="E43" s="15" t="n"/>
      <c r="F43" s="11" t="inlineStr"/>
      <c r="G43" s="11" t="inlineStr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1" t="inlineStr">
        <is>
          <t>GD Dự án</t>
        </is>
      </c>
      <c r="C44" s="13" t="n">
        <v>1</v>
      </c>
      <c r="D44" s="14" t="n">
        <v>1</v>
      </c>
      <c r="E44" s="15" t="n"/>
      <c r="F44" s="11" t="inlineStr">
        <is>
          <t>Done</t>
        </is>
      </c>
      <c r="G44" s="11" t="inlineStr">
        <is>
          <t>Hồ Hoàng Cường 8/6</t>
        </is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1" t="inlineStr">
        <is>
          <t>CHP</t>
        </is>
      </c>
      <c r="C45" s="13" t="n">
        <v>1</v>
      </c>
      <c r="D45" s="14" t="n">
        <v>1</v>
      </c>
      <c r="E45" s="15" t="n"/>
      <c r="F45" s="11" t="inlineStr">
        <is>
          <t>Done</t>
        </is>
      </c>
      <c r="G45" s="11" t="inlineStr">
        <is>
          <t>Trần Thanh Toàn 12/6</t>
        </is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1" t="inlineStr">
        <is>
          <t>CHT</t>
        </is>
      </c>
      <c r="C46" s="13" t="n"/>
      <c r="D46" s="14" t="n"/>
      <c r="E46" s="15" t="n"/>
      <c r="F46" s="11" t="inlineStr">
        <is>
          <t>Done</t>
        </is>
      </c>
      <c r="G46" s="11" t="inlineStr">
        <is>
          <t>Đoàn Văn Tú - ECSG (không thường trực)</t>
        </is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1" t="inlineStr">
        <is>
          <t>Tài xế lái xe</t>
        </is>
      </c>
      <c r="C47" s="13" t="n">
        <v>1</v>
      </c>
      <c r="D47" s="14" t="n">
        <v>0</v>
      </c>
      <c r="E47" s="15" t="n"/>
      <c r="F47" s="11" t="inlineStr"/>
      <c r="G47" s="11" t="inlineStr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6" t="inlineStr">
        <is>
          <t>CHỐNG HẠN, XÓI LỞ VÀ NGẬP LỤT THÍCH ỨNG VỚI BIẾN ĐỔI KHÍ HẬU - Khu vực Hồ Lanh Ra, Xã Phước Hậu, tỉnh Khánh Hòa</t>
        </is>
      </c>
      <c r="C48" s="3" t="inlineStr">
        <is>
          <t>Nhu cầu</t>
        </is>
      </c>
      <c r="D48" s="4" t="inlineStr">
        <is>
          <t>Đã tuyển</t>
        </is>
      </c>
      <c r="E48" s="5" t="inlineStr">
        <is>
          <t>Đang tuyển</t>
        </is>
      </c>
      <c r="F48" s="6" t="inlineStr">
        <is>
          <t>Tiến độ</t>
        </is>
      </c>
      <c r="G48" s="1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7" t="inlineStr">
        <is>
          <t>Số lượng định biên</t>
        </is>
      </c>
      <c r="C49" s="8">
        <f>SUM(C50:C58)</f>
        <v/>
      </c>
      <c r="D49" s="8">
        <f>SUM(D50:D58)</f>
        <v/>
      </c>
      <c r="E49" s="8">
        <f>SUM(E50:E58)</f>
        <v/>
      </c>
      <c r="F49" s="11" t="n"/>
      <c r="G49" s="1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1" t="inlineStr">
        <is>
          <t>Cán bộ vật tư (theo kl công việc)</t>
        </is>
      </c>
      <c r="C50" s="13" t="n">
        <v>1</v>
      </c>
      <c r="D50" s="14" t="n">
        <v>0</v>
      </c>
      <c r="E50" s="15" t="n">
        <v>1</v>
      </c>
      <c r="F50" s="11" t="inlineStr"/>
      <c r="G50" s="11" t="inlineStr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1" t="inlineStr">
        <is>
          <t>Cán bộ ATLD</t>
        </is>
      </c>
      <c r="C51" s="13" t="n">
        <v>1</v>
      </c>
      <c r="D51" s="14" t="n">
        <v>0</v>
      </c>
      <c r="E51" s="15" t="n">
        <v>1</v>
      </c>
      <c r="F51" s="11" t="inlineStr"/>
      <c r="G51" s="11" t="inlineStr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1" t="inlineStr">
        <is>
          <t>Kế toán HC</t>
        </is>
      </c>
      <c r="C52" s="13" t="n">
        <v>1</v>
      </c>
      <c r="D52" s="14" t="n">
        <v>0</v>
      </c>
      <c r="E52" s="15" t="n">
        <v>1</v>
      </c>
      <c r="F52" s="11" t="inlineStr"/>
      <c r="G52" s="11" t="inlineStr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1" t="inlineStr">
        <is>
          <t>Kỹ sư cơ khí</t>
        </is>
      </c>
      <c r="C53" s="13" t="n">
        <v>1</v>
      </c>
      <c r="D53" s="14" t="n">
        <v>1</v>
      </c>
      <c r="E53" s="15" t="n"/>
      <c r="F53" s="11" t="inlineStr">
        <is>
          <t>Done</t>
        </is>
      </c>
      <c r="G53" s="11" t="inlineStr">
        <is>
          <t>Hồ Sỹ Hồng 15/6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1" t="inlineStr">
        <is>
          <t>CHT</t>
        </is>
      </c>
      <c r="C54" s="13" t="n">
        <v>1</v>
      </c>
      <c r="D54" s="14" t="n">
        <v>0</v>
      </c>
      <c r="E54" s="15" t="n">
        <v>0</v>
      </c>
      <c r="F54" s="11" t="inlineStr"/>
      <c r="G54" s="11" t="inlineStr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1" t="inlineStr">
        <is>
          <t>Trắc đạc</t>
        </is>
      </c>
      <c r="C55" s="13" t="n">
        <v>1</v>
      </c>
      <c r="D55" s="14" t="n">
        <v>0</v>
      </c>
      <c r="E55" s="15" t="n">
        <v>0</v>
      </c>
      <c r="F55" s="11" t="inlineStr"/>
      <c r="G55" s="11" t="inlineStr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1" t="inlineStr">
        <is>
          <t>Tổ trưởng QA/QC kiêm KCS</t>
        </is>
      </c>
      <c r="C56" s="13" t="n">
        <v>1</v>
      </c>
      <c r="D56" s="14" t="n">
        <v>0</v>
      </c>
      <c r="E56" s="15" t="n">
        <v>0</v>
      </c>
      <c r="F56" s="11" t="inlineStr"/>
      <c r="G56" s="11" t="inlineStr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1" t="inlineStr">
        <is>
          <t>QA/QC</t>
        </is>
      </c>
      <c r="C57" s="13" t="n">
        <v>1</v>
      </c>
      <c r="D57" s="14" t="n">
        <v>0</v>
      </c>
      <c r="E57" s="15" t="n">
        <v>0</v>
      </c>
      <c r="F57" s="11" t="inlineStr"/>
      <c r="G57" s="11" t="inlineStr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2.5" customHeight="1">
      <c r="A58" s="1" t="n"/>
      <c r="B58" s="11" t="inlineStr">
        <is>
          <t>CBKT</t>
        </is>
      </c>
      <c r="C58" s="13" t="n">
        <v>1</v>
      </c>
      <c r="D58" s="14" t="n">
        <v>0</v>
      </c>
      <c r="E58" s="15" t="n">
        <v>0</v>
      </c>
      <c r="F58" s="11" t="inlineStr"/>
      <c r="G58" s="11" t="inlineStr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38.25" customHeight="1">
      <c r="A59" s="51" t="inlineStr">
        <is>
          <t>II</t>
        </is>
      </c>
      <c r="B59" s="62" t="inlineStr">
        <is>
          <t>KHỐI VĂN PHÒNG</t>
        </is>
      </c>
      <c r="C59" s="63" t="n"/>
      <c r="D59" s="63" t="n"/>
      <c r="E59" s="63" t="n"/>
      <c r="F59" s="63" t="n"/>
      <c r="G59" s="64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8" t="inlineStr">
        <is>
          <t>PHÒNG KẾ HOẠCH - ĐẤU THẦU</t>
        </is>
      </c>
      <c r="C60" s="3" t="inlineStr">
        <is>
          <t>Nhu cầu</t>
        </is>
      </c>
      <c r="D60" s="4" t="inlineStr">
        <is>
          <t>Đã tuyển</t>
        </is>
      </c>
      <c r="E60" s="5" t="inlineStr">
        <is>
          <t>Đang tuyển</t>
        </is>
      </c>
      <c r="F60" s="6" t="inlineStr">
        <is>
          <t>Tiến độ</t>
        </is>
      </c>
      <c r="G60" s="19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7" t="inlineStr">
        <is>
          <t>Số lượng định biên</t>
        </is>
      </c>
      <c r="C61" s="8">
        <f>SUM(C62:C63)</f>
        <v/>
      </c>
      <c r="D61" s="9">
        <f>SUM(D62:D63)</f>
        <v/>
      </c>
      <c r="E61" s="10">
        <f>SUM(E62:E63)</f>
        <v/>
      </c>
      <c r="F61" s="6" t="n"/>
      <c r="G61" s="19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20" t="inlineStr">
        <is>
          <t>Chuyên viên Kinh tế - Kế hoạch</t>
        </is>
      </c>
      <c r="C62" s="21" t="n">
        <v>4</v>
      </c>
      <c r="D62" s="22" t="n">
        <v>0</v>
      </c>
      <c r="E62" s="23" t="n"/>
      <c r="F62" s="24" t="inlineStr"/>
      <c r="G62" s="24" t="inlineStr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25" t="inlineStr">
        <is>
          <t>Chuyên viên đấu thầu</t>
        </is>
      </c>
      <c r="C63" s="21" t="n">
        <v>2</v>
      </c>
      <c r="D63" s="22" t="n">
        <v>0</v>
      </c>
      <c r="E63" s="23" t="n">
        <v>1</v>
      </c>
      <c r="F63" s="24" t="inlineStr"/>
      <c r="G63" s="24" t="inlineStr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8" t="inlineStr">
        <is>
          <t>PHÒNG QUẢN LÝ DỰ ÁN</t>
        </is>
      </c>
      <c r="C64" s="3" t="inlineStr">
        <is>
          <t>Nhu cầu</t>
        </is>
      </c>
      <c r="D64" s="4" t="inlineStr">
        <is>
          <t>Đã tuyển</t>
        </is>
      </c>
      <c r="E64" s="5" t="inlineStr">
        <is>
          <t>Đang tuyển</t>
        </is>
      </c>
      <c r="F64" s="6" t="inlineStr">
        <is>
          <t>Tiến độ</t>
        </is>
      </c>
      <c r="G64" s="24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7" t="inlineStr">
        <is>
          <t>Số lượng định biên</t>
        </is>
      </c>
      <c r="C65" s="8">
        <f>SUM(C66:C70)</f>
        <v/>
      </c>
      <c r="D65" s="9">
        <f>SUM(D66:D70)</f>
        <v/>
      </c>
      <c r="E65" s="10">
        <f>SUM(E66:E70)</f>
        <v/>
      </c>
      <c r="F65" s="6" t="n"/>
      <c r="G65" s="24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20" t="inlineStr">
        <is>
          <t>Nhân viên tổng hợp P QLDA</t>
        </is>
      </c>
      <c r="C66" s="21" t="n">
        <v>1</v>
      </c>
      <c r="D66" s="22" t="n">
        <v>0</v>
      </c>
      <c r="E66" s="23" t="n">
        <v>1</v>
      </c>
      <c r="F66" s="24" t="inlineStr"/>
      <c r="G66" s="24" t="inlineStr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25" t="inlineStr">
        <is>
          <t>PP QLDA</t>
        </is>
      </c>
      <c r="C67" s="21" t="n">
        <v>1</v>
      </c>
      <c r="D67" s="22" t="n">
        <v>0</v>
      </c>
      <c r="E67" s="23" t="n">
        <v>1</v>
      </c>
      <c r="F67" s="24" t="inlineStr"/>
      <c r="G67" s="24" t="inlineStr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20" t="inlineStr">
        <is>
          <t>Chuyên viên QLDA</t>
        </is>
      </c>
      <c r="C68" s="21" t="n">
        <v>2</v>
      </c>
      <c r="D68" s="22" t="n">
        <v>1</v>
      </c>
      <c r="E68" s="23">
        <f>C68-D68</f>
        <v/>
      </c>
      <c r="F68" s="24" t="inlineStr"/>
      <c r="G68" s="24" t="inlineStr">
        <is>
          <t>Nguyễn Văn Quyết 15/6</t>
        </is>
      </c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20" t="inlineStr">
        <is>
          <t>Chuyên viên QS P QLDA</t>
        </is>
      </c>
      <c r="C69" s="21" t="n">
        <v>1</v>
      </c>
      <c r="D69" s="22" t="n">
        <v>1</v>
      </c>
      <c r="E69" s="23" t="n"/>
      <c r="F69" s="24" t="inlineStr">
        <is>
          <t>Done</t>
        </is>
      </c>
      <c r="G69" s="24" t="inlineStr">
        <is>
          <t>Nguyễn Hồng Hải 15/6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20" t="inlineStr">
        <is>
          <t>TP QLDA</t>
        </is>
      </c>
      <c r="C70" s="21" t="n">
        <v>1</v>
      </c>
      <c r="D70" s="22" t="n">
        <v>0</v>
      </c>
      <c r="E70" s="23" t="n"/>
      <c r="F70" s="24" t="inlineStr"/>
      <c r="G70" s="24" t="inlineStr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26" t="inlineStr">
        <is>
          <t>PHÒNG HÀNH CHÍNH - NHÂN SỰ</t>
        </is>
      </c>
      <c r="C71" s="3" t="inlineStr">
        <is>
          <t>Nhu cầu</t>
        </is>
      </c>
      <c r="D71" s="4" t="inlineStr">
        <is>
          <t>Đã tuyển</t>
        </is>
      </c>
      <c r="E71" s="5" t="inlineStr">
        <is>
          <t>Đang tuyển</t>
        </is>
      </c>
      <c r="F71" s="6" t="inlineStr">
        <is>
          <t>Tiến độ</t>
        </is>
      </c>
      <c r="G71" s="24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7" t="inlineStr">
        <is>
          <t>Số lượng định biên</t>
        </is>
      </c>
      <c r="C72" s="8">
        <f>SUM(C73:C80)</f>
        <v/>
      </c>
      <c r="D72" s="9">
        <f>SUM(D73:D80)</f>
        <v/>
      </c>
      <c r="E72" s="10">
        <f>SUM(E73:E80)</f>
        <v/>
      </c>
      <c r="F72" s="6" t="n"/>
      <c r="G72" s="24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20" t="inlineStr">
        <is>
          <t>Nhân viên Tuyển dụng</t>
        </is>
      </c>
      <c r="C73" s="21" t="n">
        <v>1</v>
      </c>
      <c r="D73" s="22" t="n">
        <v>0</v>
      </c>
      <c r="E73" s="23">
        <f>C73-D73</f>
        <v/>
      </c>
      <c r="F73" s="24" t="inlineStr"/>
      <c r="G73" s="24" t="inlineStr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27" t="inlineStr">
        <is>
          <t>Chuyên viên Media</t>
        </is>
      </c>
      <c r="C74" s="21" t="n">
        <v>1</v>
      </c>
      <c r="D74" s="22" t="n">
        <v>0</v>
      </c>
      <c r="E74" s="23" t="n">
        <v>1</v>
      </c>
      <c r="F74" s="24" t="inlineStr"/>
      <c r="G74" s="24" t="inlineStr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20" t="inlineStr">
        <is>
          <t>Nhân viên HC</t>
        </is>
      </c>
      <c r="C75" s="21" t="n">
        <v>1</v>
      </c>
      <c r="D75" s="22" t="n">
        <v>0</v>
      </c>
      <c r="E75" s="23" t="n">
        <v>1</v>
      </c>
      <c r="F75" s="24" t="inlineStr"/>
      <c r="G75" s="24" t="inlineStr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20" t="inlineStr">
        <is>
          <t>PP Hành chính</t>
        </is>
      </c>
      <c r="C76" s="21" t="n">
        <v>1</v>
      </c>
      <c r="D76" s="22" t="n">
        <v>0</v>
      </c>
      <c r="E76" s="23" t="n"/>
      <c r="F76" s="24" t="inlineStr"/>
      <c r="G76" s="24" t="inlineStr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20" t="inlineStr">
        <is>
          <t>Tổ trưởng Nhân sự</t>
        </is>
      </c>
      <c r="C77" s="21" t="n">
        <v>1</v>
      </c>
      <c r="D77" s="22" t="n">
        <v>1</v>
      </c>
      <c r="E77" s="23" t="n"/>
      <c r="F77" s="24" t="inlineStr">
        <is>
          <t>Done</t>
        </is>
      </c>
      <c r="G77" s="24" t="inlineStr">
        <is>
          <t>Dương Nhật Hoành Anh 10/6</t>
        </is>
      </c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20" t="inlineStr">
        <is>
          <t>Tài xế</t>
        </is>
      </c>
      <c r="C78" s="21" t="n">
        <v>1</v>
      </c>
      <c r="D78" s="22" t="n">
        <v>0</v>
      </c>
      <c r="E78" s="23" t="n"/>
      <c r="F78" s="24" t="inlineStr"/>
      <c r="G78" s="24" t="inlineStr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20" t="inlineStr">
        <is>
          <t>Nhân viên Văn Thư</t>
        </is>
      </c>
      <c r="C79" s="21" t="n">
        <v>1</v>
      </c>
      <c r="D79" s="22" t="n">
        <v>0</v>
      </c>
      <c r="E79" s="23" t="n"/>
      <c r="F79" s="24" t="inlineStr"/>
      <c r="G79" s="28" t="inlineStr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20" t="inlineStr">
        <is>
          <t>Chuyên viên Designer</t>
        </is>
      </c>
      <c r="C80" s="21" t="n">
        <v>1</v>
      </c>
      <c r="D80" s="22" t="n">
        <v>0</v>
      </c>
      <c r="E80" s="23" t="n"/>
      <c r="F80" s="24" t="inlineStr"/>
      <c r="G80" s="24" t="inlineStr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26" t="inlineStr">
        <is>
          <t>PHÒNG AN TOÀN LAO ĐỘNG</t>
        </is>
      </c>
      <c r="C81" s="3" t="inlineStr">
        <is>
          <t>Nhu cầu</t>
        </is>
      </c>
      <c r="D81" s="4" t="inlineStr">
        <is>
          <t>Đã tuyển</t>
        </is>
      </c>
      <c r="E81" s="5" t="inlineStr">
        <is>
          <t>Đang tuyển</t>
        </is>
      </c>
      <c r="F81" s="6" t="inlineStr">
        <is>
          <t>Tiến độ</t>
        </is>
      </c>
      <c r="G81" s="24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7" t="inlineStr">
        <is>
          <t>Số lượng định biên</t>
        </is>
      </c>
      <c r="C82" s="8">
        <f>SUM(C83)</f>
        <v/>
      </c>
      <c r="D82" s="9">
        <f>SUM(D83)</f>
        <v/>
      </c>
      <c r="E82" s="10">
        <f>SUM(E83)</f>
        <v/>
      </c>
      <c r="F82" s="6" t="n"/>
      <c r="G82" s="24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20" t="inlineStr">
        <is>
          <t>Chuyên viên ATLD</t>
        </is>
      </c>
      <c r="C83" s="21" t="n">
        <v>1</v>
      </c>
      <c r="D83" s="22" t="n">
        <v>0</v>
      </c>
      <c r="E83" s="23" t="n">
        <v>1</v>
      </c>
      <c r="F83" s="24" t="inlineStr"/>
      <c r="G83" s="24" t="inlineStr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26" t="inlineStr">
        <is>
          <t>PHÒNG VẬT TƯ - THIẾT BỊ</t>
        </is>
      </c>
      <c r="C84" s="3" t="inlineStr">
        <is>
          <t>Nhu cầu</t>
        </is>
      </c>
      <c r="D84" s="4" t="inlineStr">
        <is>
          <t>Đã tuyển</t>
        </is>
      </c>
      <c r="E84" s="5" t="inlineStr">
        <is>
          <t>Đang tuyển</t>
        </is>
      </c>
      <c r="F84" s="6" t="inlineStr">
        <is>
          <t>Tiến độ</t>
        </is>
      </c>
      <c r="G84" s="24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7" t="inlineStr">
        <is>
          <t>Số lượng định biên</t>
        </is>
      </c>
      <c r="C85" s="8">
        <f>SUM(C86)</f>
        <v/>
      </c>
      <c r="D85" s="9">
        <f>SUM(D86)</f>
        <v/>
      </c>
      <c r="E85" s="10">
        <f>SUM(E86)</f>
        <v/>
      </c>
      <c r="F85" s="6" t="n"/>
      <c r="G85" s="24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20" t="inlineStr">
        <is>
          <t>Phó phòng VT - TB</t>
        </is>
      </c>
      <c r="C86" s="21" t="n">
        <v>1</v>
      </c>
      <c r="D86" s="22" t="n">
        <v>0</v>
      </c>
      <c r="E86" s="23" t="n"/>
      <c r="F86" s="24" t="inlineStr"/>
      <c r="G86" s="24" t="inlineStr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26" t="inlineStr">
        <is>
          <t>PHÒNG KỸ THUẬT HẠ TẦNG</t>
        </is>
      </c>
      <c r="C87" s="3" t="inlineStr">
        <is>
          <t>Nhu cầu</t>
        </is>
      </c>
      <c r="D87" s="4" t="inlineStr">
        <is>
          <t>Đã tuyển</t>
        </is>
      </c>
      <c r="E87" s="5" t="inlineStr">
        <is>
          <t>Đang tuyển</t>
        </is>
      </c>
      <c r="F87" s="6" t="inlineStr">
        <is>
          <t>Tiến độ</t>
        </is>
      </c>
      <c r="G87" s="24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7" t="inlineStr">
        <is>
          <t>Số lượng định biên</t>
        </is>
      </c>
      <c r="C88" s="8">
        <f>SUM(C89:C99)</f>
        <v/>
      </c>
      <c r="D88" s="9">
        <f>SUM(D89:D99)</f>
        <v/>
      </c>
      <c r="E88" s="10">
        <f>SUM(E89:E99)</f>
        <v/>
      </c>
      <c r="F88" s="6" t="n"/>
      <c r="G88" s="24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20" t="inlineStr">
        <is>
          <t>Trưởng phòng KTHT</t>
        </is>
      </c>
      <c r="C89" s="21" t="n">
        <v>1</v>
      </c>
      <c r="D89" s="22" t="n">
        <v>0</v>
      </c>
      <c r="E89" s="23" t="n">
        <v>1</v>
      </c>
      <c r="F89" s="24" t="inlineStr"/>
      <c r="G89" s="24" t="inlineStr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20" t="inlineStr">
        <is>
          <t>Phó phòng KTHT</t>
        </is>
      </c>
      <c r="C90" s="21" t="n">
        <v>1</v>
      </c>
      <c r="D90" s="22" t="n">
        <v>0</v>
      </c>
      <c r="E90" s="23" t="n">
        <v>1</v>
      </c>
      <c r="F90" s="24" t="inlineStr"/>
      <c r="G90" s="24" t="inlineStr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20" t="inlineStr">
        <is>
          <t>Chuyên viên KTHT</t>
        </is>
      </c>
      <c r="C91" s="21" t="n">
        <v>1</v>
      </c>
      <c r="D91" s="22" t="n">
        <v>0</v>
      </c>
      <c r="E91" s="23" t="n">
        <v>1</v>
      </c>
      <c r="F91" s="24" t="inlineStr"/>
      <c r="G91" s="24" t="inlineStr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</sheetData>
  <mergeCells count="3">
    <mergeCell ref="B3:G3"/>
    <mergeCell ref="A1:G1"/>
    <mergeCell ref="B59:G59"/>
  </mergeCells>
  <pageMargins left="0.7" right="0.7" top="0.75" bottom="0.75" header="0" footer="0"/>
  <pageSetup orientation="landscape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Dao, Le Thi Hoa</dc:creator>
  <dcterms:created xmlns:dcterms="http://purl.org/dc/terms/" xmlns:xsi="http://www.w3.org/2001/XMLSchema-instance" xsi:type="dcterms:W3CDTF">2026-05-14T02:48:57Z</dcterms:created>
  <dcterms:modified xmlns:dcterms="http://purl.org/dc/terms/" xmlns:xsi="http://www.w3.org/2001/XMLSchema-instance" xsi:type="dcterms:W3CDTF">2026-06-08T04:29:35Z</dcterms:modified>
  <cp:lastModifiedBy>tnec.mkt</cp:lastModifiedBy>
  <cp:lastPrinted>2026-06-08T02:23:22Z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0x010100224F4531241CBE44A4D1CF295F03EA9B</vt:lpwstr>
  </property>
  <property name="MediaServiceImageTags" fmtid="{D5CDD505-2E9C-101B-9397-08002B2CF9AE}" pid="3">
    <vt:lpwstr xmlns:vt="http://schemas.openxmlformats.org/officeDocument/2006/docPropsVTypes"/>
  </property>
</Properties>
</file>